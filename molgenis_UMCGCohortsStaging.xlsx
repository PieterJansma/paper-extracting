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<sst xmlns="http://schemas.openxmlformats.org/spreadsheetml/2006/main" count="1428" uniqueCount="528">
  <si>
    <t>tableName</t>
  </si>
  <si>
    <t>tableExtends</t>
  </si>
  <si>
    <t>columnName</t>
  </si>
  <si>
    <t>columnType</t>
  </si>
  <si>
    <t>key</t>
  </si>
  <si>
    <t>required</t>
  </si>
  <si>
    <t>refSchema</t>
  </si>
  <si>
    <t>refTable</t>
  </si>
  <si>
    <t>refLink</t>
  </si>
  <si>
    <t>refBack</t>
  </si>
  <si>
    <t>validation</t>
  </si>
  <si>
    <t>semantics</t>
  </si>
  <si>
    <t>description</t>
  </si>
  <si>
    <t>profiles</t>
  </si>
  <si>
    <t>visible</t>
  </si>
  <si>
    <t>label</t>
  </si>
  <si>
    <t>computed</t>
  </si>
  <si>
    <t>refLabel</t>
  </si>
  <si>
    <t>defaultValue</t>
  </si>
  <si>
    <t>Variable values</t>
  </si>
  <si>
    <t>Publications</t>
  </si>
  <si>
    <t>Contacts</t>
  </si>
  <si>
    <t>Datasets</t>
  </si>
  <si>
    <t>Collection events</t>
  </si>
  <si>
    <t>Profiles</t>
  </si>
  <si>
    <t>External identifiers</t>
  </si>
  <si>
    <t>Version</t>
  </si>
  <si>
    <t>Resources</t>
  </si>
  <si>
    <t>Subpopulations</t>
  </si>
  <si>
    <t>Variable mappings</t>
  </si>
  <si>
    <t>Agents</t>
  </si>
  <si>
    <t>Variables</t>
  </si>
  <si>
    <t>Internal identifiers</t>
  </si>
  <si>
    <t>Organisations</t>
  </si>
  <si>
    <t>Documentation</t>
  </si>
  <si>
    <t>Subpopulation counts</t>
  </si>
  <si>
    <t>resource</t>
  </si>
  <si>
    <t>dataset</t>
  </si>
  <si>
    <t>variable</t>
  </si>
  <si>
    <t>value</t>
  </si>
  <si>
    <t>order</t>
  </si>
  <si>
    <t>is missing</t>
  </si>
  <si>
    <t>ontology term URI</t>
  </si>
  <si>
    <t>since version</t>
  </si>
  <si>
    <t>until version</t>
  </si>
  <si>
    <t>doi</t>
  </si>
  <si>
    <t>title</t>
  </si>
  <si>
    <t>is design publication</t>
  </si>
  <si>
    <t>role</t>
  </si>
  <si>
    <t>first name</t>
  </si>
  <si>
    <t>last name</t>
  </si>
  <si>
    <t>statement of consent personal data</t>
  </si>
  <si>
    <t>prefix</t>
  </si>
  <si>
    <t>initials</t>
  </si>
  <si>
    <t>organisation</t>
  </si>
  <si>
    <t>email</t>
  </si>
  <si>
    <t>orcid</t>
  </si>
  <si>
    <t>homepage</t>
  </si>
  <si>
    <t>photo</t>
  </si>
  <si>
    <t>expertise</t>
  </si>
  <si>
    <t>name</t>
  </si>
  <si>
    <t>dataset type</t>
  </si>
  <si>
    <t>unit of observation</t>
  </si>
  <si>
    <t>keywords</t>
  </si>
  <si>
    <t>number of rows</t>
  </si>
  <si>
    <t>pid</t>
  </si>
  <si>
    <t>subpopulations</t>
  </si>
  <si>
    <t>start date</t>
  </si>
  <si>
    <t>end date</t>
  </si>
  <si>
    <t>age groups</t>
  </si>
  <si>
    <t>number of participants</t>
  </si>
  <si>
    <t>areas of information</t>
  </si>
  <si>
    <t>data categories</t>
  </si>
  <si>
    <t>sample categories</t>
  </si>
  <si>
    <t>standardized tools</t>
  </si>
  <si>
    <t>standardized tools other</t>
  </si>
  <si>
    <t>core variables</t>
  </si>
  <si>
    <t>issued</t>
  </si>
  <si>
    <t>modified</t>
  </si>
  <si>
    <t>theme</t>
  </si>
  <si>
    <t>access rights</t>
  </si>
  <si>
    <t>applicable legislation</t>
  </si>
  <si>
    <t>UMCGCohortsStaging</t>
  </si>
  <si>
    <t>identifier</t>
  </si>
  <si>
    <t>external identifier type</t>
  </si>
  <si>
    <t>external identifier type other</t>
  </si>
  <si>
    <t>overview</t>
  </si>
  <si>
    <t>hricore</t>
  </si>
  <si>
    <t>id</t>
  </si>
  <si>
    <t>acronym</t>
  </si>
  <si>
    <t>type</t>
  </si>
  <si>
    <t>cohort type</t>
  </si>
  <si>
    <t>website</t>
  </si>
  <si>
    <t>internal identifiers</t>
  </si>
  <si>
    <t>external identifiers</t>
  </si>
  <si>
    <t>start year</t>
  </si>
  <si>
    <t>end year</t>
  </si>
  <si>
    <t>contact email</t>
  </si>
  <si>
    <t>logo</t>
  </si>
  <si>
    <t>design and structure</t>
  </si>
  <si>
    <t>design</t>
  </si>
  <si>
    <t>design description</t>
  </si>
  <si>
    <t>design schematic</t>
  </si>
  <si>
    <t>data collection type</t>
  </si>
  <si>
    <t>collection events</t>
  </si>
  <si>
    <t>population</t>
  </si>
  <si>
    <t>number of participants with samples</t>
  </si>
  <si>
    <t>countries</t>
  </si>
  <si>
    <t>regions</t>
  </si>
  <si>
    <t>population age groups</t>
  </si>
  <si>
    <t>age min</t>
  </si>
  <si>
    <t>age max</t>
  </si>
  <si>
    <t>inclusion criteria</t>
  </si>
  <si>
    <t>other inclusion criteria</t>
  </si>
  <si>
    <t>exclusion criteria</t>
  </si>
  <si>
    <t>other exclusion criteria</t>
  </si>
  <si>
    <t>contributors</t>
  </si>
  <si>
    <t>organisations involved</t>
  </si>
  <si>
    <t>publisher</t>
  </si>
  <si>
    <t>creator</t>
  </si>
  <si>
    <t>people involved</t>
  </si>
  <si>
    <t>contact point</t>
  </si>
  <si>
    <t>linkage</t>
  </si>
  <si>
    <t>linkage options</t>
  </si>
  <si>
    <t>access conditions</t>
  </si>
  <si>
    <t>informed consent type</t>
  </si>
  <si>
    <t>data access conditions</t>
  </si>
  <si>
    <t>data use conditions</t>
  </si>
  <si>
    <t>data access conditions description</t>
  </si>
  <si>
    <t>data access fee</t>
  </si>
  <si>
    <t>release type</t>
  </si>
  <si>
    <t>release description</t>
  </si>
  <si>
    <t>information</t>
  </si>
  <si>
    <t>publications</t>
  </si>
  <si>
    <t>funding statement</t>
  </si>
  <si>
    <t>acknowledgements</t>
  </si>
  <si>
    <t>provenance statement</t>
  </si>
  <si>
    <t>documentation</t>
  </si>
  <si>
    <t>counts</t>
  </si>
  <si>
    <t>inclusion start</t>
  </si>
  <si>
    <t>inclusion end</t>
  </si>
  <si>
    <t>main medical condition</t>
  </si>
  <si>
    <t>comorbidity</t>
  </si>
  <si>
    <t>source</t>
  </si>
  <si>
    <t>source dataset</t>
  </si>
  <si>
    <t>source variables</t>
  </si>
  <si>
    <t>source variables other datasets</t>
  </si>
  <si>
    <t>target</t>
  </si>
  <si>
    <t>target dataset</t>
  </si>
  <si>
    <t>target variable</t>
  </si>
  <si>
    <t>repeats</t>
  </si>
  <si>
    <t>match</t>
  </si>
  <si>
    <t>syntax</t>
  </si>
  <si>
    <t>comments</t>
  </si>
  <si>
    <t>other organisation</t>
  </si>
  <si>
    <t>department</t>
  </si>
  <si>
    <t>collection event</t>
  </si>
  <si>
    <t>format</t>
  </si>
  <si>
    <t>unit</t>
  </si>
  <si>
    <t>repeat unit</t>
  </si>
  <si>
    <t>repeat min</t>
  </si>
  <si>
    <t>repeat max</t>
  </si>
  <si>
    <t>example values</t>
  </si>
  <si>
    <t>permitted values</t>
  </si>
  <si>
    <t>vocabularies</t>
  </si>
  <si>
    <t>mappings</t>
  </si>
  <si>
    <t>internal identifier type</t>
  </si>
  <si>
    <t>internal identifier type other</t>
  </si>
  <si>
    <t>is lead organisation</t>
  </si>
  <si>
    <t>url</t>
  </si>
  <si>
    <t>file</t>
  </si>
  <si>
    <t>subpopulation</t>
  </si>
  <si>
    <t>age group</t>
  </si>
  <si>
    <t>N total</t>
  </si>
  <si>
    <t>N female</t>
  </si>
  <si>
    <t>N male</t>
  </si>
  <si>
    <t>ref</t>
  </si>
  <si>
    <t>int</t>
  </si>
  <si>
    <t>bool</t>
  </si>
  <si>
    <t>hyperlink</t>
  </si>
  <si>
    <t>ontology_array</t>
  </si>
  <si>
    <t>ontology</t>
  </si>
  <si>
    <t>text</t>
  </si>
  <si>
    <t>ref_array</t>
  </si>
  <si>
    <t>string_array</t>
  </si>
  <si>
    <t>date</t>
  </si>
  <si>
    <t>datetime</t>
  </si>
  <si>
    <t>heading</t>
  </si>
  <si>
    <t>refback</t>
  </si>
  <si>
    <t>non_negative_int</t>
  </si>
  <si>
    <t>1</t>
  </si>
  <si>
    <t>2</t>
  </si>
  <si>
    <t>3</t>
  </si>
  <si>
    <t>TRUE</t>
  </si>
  <si>
    <t>if(resource?.hricore === true) 'This field is mandatory for HRICore compatibility'</t>
  </si>
  <si>
    <t>if(hricore === true) 'This field is mandatory for HRICore compatibility'</t>
  </si>
  <si>
    <t>if(hricore === true &amp;&amp; type?.some(item =&gt; item.name !== 'Network' &amp;&amp; item.name !== 'Catalogue')) 'This field is mandatory for HRICore compatibility'</t>
  </si>
  <si>
    <t>CatalogueOntologies</t>
  </si>
  <si>
    <t>UMCG</t>
  </si>
  <si>
    <t>Contribution types</t>
  </si>
  <si>
    <t>Titles</t>
  </si>
  <si>
    <t>Dataset types</t>
  </si>
  <si>
    <t>Observation targets</t>
  </si>
  <si>
    <t>Keywords</t>
  </si>
  <si>
    <t>Age groups</t>
  </si>
  <si>
    <t>Areas of information cohorts</t>
  </si>
  <si>
    <t>Data categories</t>
  </si>
  <si>
    <t>Sample categories</t>
  </si>
  <si>
    <t>Standardized tools</t>
  </si>
  <si>
    <t>Themes</t>
  </si>
  <si>
    <t>Access rights</t>
  </si>
  <si>
    <t>Legislations</t>
  </si>
  <si>
    <t>External identifier types</t>
  </si>
  <si>
    <t>Resource types</t>
  </si>
  <si>
    <t>Cohort study types</t>
  </si>
  <si>
    <t>Cohort designs</t>
  </si>
  <si>
    <t>Cohort collection types</t>
  </si>
  <si>
    <t>Countries</t>
  </si>
  <si>
    <t>Regions</t>
  </si>
  <si>
    <t>Inclusion Exclusion Criteria</t>
  </si>
  <si>
    <t>Informed consent types</t>
  </si>
  <si>
    <t>Data access conditions</t>
  </si>
  <si>
    <t>Data use conditions</t>
  </si>
  <si>
    <t>Release types</t>
  </si>
  <si>
    <t>Diseases</t>
  </si>
  <si>
    <t>Status details</t>
  </si>
  <si>
    <t>Agent types</t>
  </si>
  <si>
    <t>Organisation roles</t>
  </si>
  <si>
    <t>Formats</t>
  </si>
  <si>
    <t>Units</t>
  </si>
  <si>
    <t>Variable repeat units</t>
  </si>
  <si>
    <t>Vocabularies</t>
  </si>
  <si>
    <t>Internal identifier types</t>
  </si>
  <si>
    <t>Document types</t>
  </si>
  <si>
    <t>if(!/^(([0-9]+)((, ?[0-9]+)*)|(NA))$/.test(repeats))'Repeats take the format 1,2,3 or 1, 2, 3 or NA'</t>
  </si>
  <si>
    <t>dcterms:isPartOf</t>
  </si>
  <si>
    <t>vcard:Kind,vcard:Individual</t>
  </si>
  <si>
    <t>vcard:hasRole</t>
  </si>
  <si>
    <t>foaf:firstName</t>
  </si>
  <si>
    <t>foaf:familyName</t>
  </si>
  <si>
    <t>foaf:title</t>
  </si>
  <si>
    <t>foaf:Organization</t>
  </si>
  <si>
    <t>vcard:hasEmail,foaf:mbox</t>
  </si>
  <si>
    <t>dcterms:identifier</t>
  </si>
  <si>
    <t>vcard:url,foaf:workplaceHomepage,vcard:hasURL</t>
  </si>
  <si>
    <t>foaf:img</t>
  </si>
  <si>
    <t>dcterms:source</t>
  </si>
  <si>
    <t>dcterms:title</t>
  </si>
  <si>
    <t>dcterms:description</t>
  </si>
  <si>
    <t>dcat:keyword</t>
  </si>
  <si>
    <t>dcat:startDate</t>
  </si>
  <si>
    <t>dcat:endDate</t>
  </si>
  <si>
    <t>dcterms:issued</t>
  </si>
  <si>
    <t>dcterms:modified</t>
  </si>
  <si>
    <t>dcat:theme</t>
  </si>
  <si>
    <t>dcterms:accessRights</t>
  </si>
  <si>
    <t>dcatap:applicableLegislation</t>
  </si>
  <si>
    <t>dcterms:alternative</t>
  </si>
  <si>
    <t>dcat:landingPage,foaf:homepage</t>
  </si>
  <si>
    <t>dcterms:issued,https://w3id.org/fdp/fdp-o#metadataIssued</t>
  </si>
  <si>
    <t>dcterms:modified,https://w3id.org/fdp/fdp-o#metadataModified</t>
  </si>
  <si>
    <t>dcterms:provenance</t>
  </si>
  <si>
    <t>healthdcatap:numberOfUniqueIndividuals</t>
  </si>
  <si>
    <t>dcterms:spatial</t>
  </si>
  <si>
    <t>healthdcatap:minimumTypicalAge</t>
  </si>
  <si>
    <t>healthdcatap:maximumTypicalAge</t>
  </si>
  <si>
    <t>dcterms:publisher</t>
  </si>
  <si>
    <t>dcterms:creator</t>
  </si>
  <si>
    <t>dcat:contactPoint</t>
  </si>
  <si>
    <t>dcterms:accrualPeriodicity</t>
  </si>
  <si>
    <t>dcterms:coverage</t>
  </si>
  <si>
    <t>foaf:Agent,org:Organization</t>
  </si>
  <si>
    <t>foaf:homepage</t>
  </si>
  <si>
    <t>foaf:mbox</t>
  </si>
  <si>
    <t>foaf:logo</t>
  </si>
  <si>
    <t>Listing of categorical value+label definition in case of a categorical variable</t>
  </si>
  <si>
    <t>Resource the variable belongs to</t>
  </si>
  <si>
    <t>Dataset the variable belongs to</t>
  </si>
  <si>
    <t>Variable name</t>
  </si>
  <si>
    <t>Variable value, e.g. '1'</t>
  </si>
  <si>
    <t>Variable label, e.g. 'Yes'</t>
  </si>
  <si>
    <t>Order that the variable values should be displayed in</t>
  </si>
  <si>
    <t>Whether this variable value indicates that data is missing, e.g. '-1' for 'NA'</t>
  </si>
  <si>
    <t>Reference to ontology term that defines this categorical value</t>
  </si>
  <si>
    <t>When this variable value was introduced, if applicable</t>
  </si>
  <si>
    <t>When this variable value was removed, if applicable</t>
  </si>
  <si>
    <t>Publications based on doi</t>
  </si>
  <si>
    <t>Resource that this publication is part of</t>
  </si>
  <si>
    <t>Digital object identifier</t>
  </si>
  <si>
    <t>Publication title</t>
  </si>
  <si>
    <t>Whether this publication is a marker or design publication</t>
  </si>
  <si>
    <t>Listing of contact persons per resource</t>
  </si>
  <si>
    <t>Resource the contact is affiliated with</t>
  </si>
  <si>
    <t>Type(s) of contribution or role in the resource</t>
  </si>
  <si>
    <t>First name of the contact person</t>
  </si>
  <si>
    <t>Last name of the contact person</t>
  </si>
  <si>
    <t>Indicate whether this person consents to display the following personal data in the catalogue (which is openly accessible): title, name, email, photo, orcid ID, institute, department, expertise, discipline and role within the resource. These data-items may partly be extracted from the UMCG and/or RUG employee pages. The consent also includes future linkages with other national and international catalogues and platforms to increase visibility and findability (e.g. BBMRI-ERIC, NARCIS) of UMCG-resources. Contributors without a positive statement of consent will not be shown in the UMCG Research Data Catalogue</t>
  </si>
  <si>
    <t>Surname prefix, if applicable</t>
  </si>
  <si>
    <t>Initials of the contact person</t>
  </si>
  <si>
    <t>Title of the contact person</t>
  </si>
  <si>
    <t>Affiliated organisation of the contact person</t>
  </si>
  <si>
    <t>Contact's email address</t>
  </si>
  <si>
    <t>Orcid of the contact person</t>
  </si>
  <si>
    <t>Link to contact's homepage</t>
  </si>
  <si>
    <t>Contact's photograph</t>
  </si>
  <si>
    <t>Description of contact's expertise</t>
  </si>
  <si>
    <t>Definition of a dataset</t>
  </si>
  <si>
    <t>Resource of which the dataset is part</t>
  </si>
  <si>
    <t>Unique dataset name in the model</t>
  </si>
  <si>
    <t>Short human readable description</t>
  </si>
  <si>
    <t>Defines the type of dataset, e.g. genomic</t>
  </si>
  <si>
    <t>Defines what each record in this table describes</t>
  </si>
  <si>
    <t>Enables grouping of table list by topic and to display tables in a tree</t>
  </si>
  <si>
    <t>Description of the role/function of this table</t>
  </si>
  <si>
    <t>Count of the number of records in this table</t>
  </si>
  <si>
    <t>When this dataset was introduced, if applicable</t>
  </si>
  <si>
    <t>When this dataset was removed, if applicable</t>
  </si>
  <si>
    <t>Definition of a collection event for a resource</t>
  </si>
  <si>
    <t>Resource this collection event is part of</t>
  </si>
  <si>
    <t>Name of the collection event</t>
  </si>
  <si>
    <t>Persistent identifier for this collection event</t>
  </si>
  <si>
    <t>Description of the collection event</t>
  </si>
  <si>
    <t>Subpopulations that are targetted by this collection event</t>
  </si>
  <si>
    <t>Keywords to increase findability of this collection event. Try to use words that are not used in the description. Keywords are not displayed on the collection event page</t>
  </si>
  <si>
    <t>Start date of data collection</t>
  </si>
  <si>
    <t>End date of data collection. Leave empty if collection is ongoing</t>
  </si>
  <si>
    <t>Age groups included in this data collection event</t>
  </si>
  <si>
    <t>Number of participants sampled in this data collection event</t>
  </si>
  <si>
    <t>Areas of information that were extracted in this data collection event</t>
  </si>
  <si>
    <t>Methods of data collection used in this collection event</t>
  </si>
  <si>
    <t>Samples that were collected in this collection event</t>
  </si>
  <si>
    <t>Standardized tools, e.g. surveys, questionnaires, instruments used to collect data for this collection event</t>
  </si>
  <si>
    <t>If 'other', please specify</t>
  </si>
  <si>
    <t>Name 10-20 relevant variables that were collected in this collection event</t>
  </si>
  <si>
    <t xml:space="preserve"> When the data for this collection event was first published</t>
  </si>
  <si>
    <t xml:space="preserve"> When the data for this collection event was last modified</t>
  </si>
  <si>
    <t>A main category of the collection event. A collection event can have multiple themes, for health data theme must at least take the value 'Health', which is set as a default</t>
  </si>
  <si>
    <t>Information that indicates whether the resource is publicly accessible, has access restrictions or is not public. A default is set for non-public access, because most health datasets contain sensitive information and rules and licenses apply to get access</t>
  </si>
  <si>
    <t>The legislation that mandates the creation or management of the collection event. For health datasets, the value must include the data governance act, which is set as a default. URI's to other legislations may be included</t>
  </si>
  <si>
    <t>External identifier(s) for this resource</t>
  </si>
  <si>
    <t>Resource that this external identifier belongs to</t>
  </si>
  <si>
    <t>External identifier</t>
  </si>
  <si>
    <t>External identifier type</t>
  </si>
  <si>
    <t>If 'other', enter external identifier type</t>
  </si>
  <si>
    <t>7.4.0</t>
  </si>
  <si>
    <t>General information</t>
  </si>
  <si>
    <t>Do you want your metadata to be compatible with HRICore v2.0.1, so that the metadata can be shared with the Dutch National Health Data Catalogue?</t>
  </si>
  <si>
    <t>Internal identifier</t>
  </si>
  <si>
    <t>Persistent identifier</t>
  </si>
  <si>
    <t>Name used in international projects</t>
  </si>
  <si>
    <t>Acronym, if applicable</t>
  </si>
  <si>
    <t>Type of resource, e.g. registry, cohort, biobank</t>
  </si>
  <si>
    <t>Type of cohort</t>
  </si>
  <si>
    <t>Link to the website or homepage</t>
  </si>
  <si>
    <t>Short description</t>
  </si>
  <si>
    <t>Keywords to increase findability of this resource. Try to use words that are not used in the description. Keywords are not displayed on the resource page</t>
  </si>
  <si>
    <t>Internal identifier(s) for this resource (e.g. UMCG register number)</t>
  </si>
  <si>
    <t>External identifier(s) for this resource (e.g. EUPASS number or BBMRI persistent identifer)</t>
  </si>
  <si>
    <t>The year when the resource started, e.g. when data or samples started to be collected or extracted, or when the resource was established</t>
  </si>
  <si>
    <t>The year the resource ceased, e.g. when data or sample collection was stopped</t>
  </si>
  <si>
    <t>Contact e-mail address</t>
  </si>
  <si>
    <t>Logo of the resource, for use on homepages etc.</t>
  </si>
  <si>
    <t>When the data of the resource was first published</t>
  </si>
  <si>
    <t>When the data of the resource was last modified</t>
  </si>
  <si>
    <t>Structure of the resource</t>
  </si>
  <si>
    <t>The study design of this cohort, i.e. cross-sectional or longitudinal</t>
  </si>
  <si>
    <t>Short description of the study design of this resource, if applicable</t>
  </si>
  <si>
    <t>A schematic depiction of the study design of this resource</t>
  </si>
  <si>
    <t>Retrospective or prospective data collection</t>
  </si>
  <si>
    <t>List of cohorts or subpopulations defined in this resource, if applicable</t>
  </si>
  <si>
    <t>List of data/sample collection events defined for this collection, if applicable</t>
  </si>
  <si>
    <t>Description of the population that is sampled in this resource</t>
  </si>
  <si>
    <t>Total number of individuals for which data is collected</t>
  </si>
  <si>
    <t>Number of individuals for which samples are collected</t>
  </si>
  <si>
    <t>Countries where data/samples from this resource largely originate from</t>
  </si>
  <si>
    <t>Geographical regions where data/samples from this resource largely originate from</t>
  </si>
  <si>
    <t>Which population age groups are captured in this resource? Select all that are relevant</t>
  </si>
  <si>
    <t>Minimum age of participants within this resource</t>
  </si>
  <si>
    <t>Maximum age of participants within this resource</t>
  </si>
  <si>
    <t>Inclusion criteria applied to the participants of this resource</t>
  </si>
  <si>
    <t>Other inclusion criteria applied to the participants of this resource</t>
  </si>
  <si>
    <t>Exclusion criteria applied to the participants of this resource</t>
  </si>
  <si>
    <t>Other exclusion criteria applied to the participants of this resource</t>
  </si>
  <si>
    <t>List of relevant collaborations</t>
  </si>
  <si>
    <t>Organisations involved in this resource and their role(s)</t>
  </si>
  <si>
    <t>From organisations involved, point out the organisation that published this resource</t>
  </si>
  <si>
    <t>From organisations involved, point out the organisation(s) that created this resource</t>
  </si>
  <si>
    <t>Persons that contributed to this resource</t>
  </si>
  <si>
    <t>From people involved, point out the primary contact point for this resource</t>
  </si>
  <si>
    <t>Data linkage</t>
  </si>
  <si>
    <t>Linkage options with additional data resources that are available for this resource</t>
  </si>
  <si>
    <t>Access and validation information</t>
  </si>
  <si>
    <t>What type of informed consent was given for data resource?</t>
  </si>
  <si>
    <t xml:space="preserve">Information that indicates whether the resource is publicly accessible, has access restrictions or is not public. A default is set for non-public access, because most health datasets contain sensitive information and rules and licenses apply to get access. </t>
  </si>
  <si>
    <t>Codes defining data access terms and conditions</t>
  </si>
  <si>
    <t>Codes defining data use terms and conditions</t>
  </si>
  <si>
    <t>Description of data access terms and use conditions</t>
  </si>
  <si>
    <t>Does a fee apply to gain access to data of this resource?</t>
  </si>
  <si>
    <t>Select whether this resource is a closed dataset or whether new data is released continuously or at a termly basis</t>
  </si>
  <si>
    <t>Description of the release cycle of this resource</t>
  </si>
  <si>
    <t>Other information</t>
  </si>
  <si>
    <t>Publication(s) about this resource</t>
  </si>
  <si>
    <t>Statement listing funding that was obtained for this resource</t>
  </si>
  <si>
    <t>Acknowledgement statement and citation regulation for this resource</t>
  </si>
  <si>
    <t>A statement of any changes in ownership and custody of a resource since its creation that are significant for its authenticity, integrity, and interpretation</t>
  </si>
  <si>
    <t>Descriptive document(s) available for this resource, e.g. informed consent</t>
  </si>
  <si>
    <t>A main category of the resource. A resource can have multiple themes, for health data theme must at least take the value 'Health', which is set as a default</t>
  </si>
  <si>
    <t>The legislation that mandates the creation or management of the resource. For health datasets, the value must include the data governance act, which is set as a default. URI's to other legislations may be included</t>
  </si>
  <si>
    <t>Subpopulations defined for this resource</t>
  </si>
  <si>
    <t>Resource this subpopulation is part of</t>
  </si>
  <si>
    <t>Subpopulation name, e.g. 'mothers in first trimester','newborns'</t>
  </si>
  <si>
    <t>Persistent identifier for this subpopulation</t>
  </si>
  <si>
    <t>Subpopulation description</t>
  </si>
  <si>
    <t>Keywords to increase findability of this subpopulation. Try to use words that are not used in the description. Keywords are not displayed on the subpopulation page</t>
  </si>
  <si>
    <t>Number of participants in this subpopulation</t>
  </si>
  <si>
    <t>Total number of unique individuals per age(group), gender and year</t>
  </si>
  <si>
    <t>Year of first included participant</t>
  </si>
  <si>
    <t>Year of last included participant. Leave empty if data collection is ongoing</t>
  </si>
  <si>
    <t>Age groups within this subpopulation</t>
  </si>
  <si>
    <t>Minimum age of participants within this subpopulation</t>
  </si>
  <si>
    <t>Maximum age of participants within this subpopulation</t>
  </si>
  <si>
    <t>Disease groups within this subpopulation, based on ICD-10 and ORPHA code classifications</t>
  </si>
  <si>
    <t>Comorbidity within this subpopulation, based on ICD-10 classification</t>
  </si>
  <si>
    <t>Countries where data from this subpopulation largely originate from</t>
  </si>
  <si>
    <t>Geographical regions where data from this subpopulation largely originate from</t>
  </si>
  <si>
    <t>Inclusion criteria applied to this subpopulation</t>
  </si>
  <si>
    <t>Other inclusion criteria applied to this subpopulation</t>
  </si>
  <si>
    <t>Exclusion criteria applied to this subpopulation</t>
  </si>
  <si>
    <t>Other exclusion criteria applied to this subpopulation</t>
  </si>
  <si>
    <t>When the data for this subpopulation was first published</t>
  </si>
  <si>
    <t xml:space="preserve"> When the data for this subpopulation was last modified</t>
  </si>
  <si>
    <t>A main category of the subpopulation. A subpopulation can have multiple themes, for health data theme must at least take the value 'Health', which is set as a default</t>
  </si>
  <si>
    <t>The legislation that mandates the creation or management of the subpopulation. For health datasets, the value must include the data governance act, which is set as a default. URI's to other legislations may be included</t>
  </si>
  <si>
    <t>Mappings from collected or source variables to target or harmonised variables, optionally including ETL syntax</t>
  </si>
  <si>
    <t>Id of the resource that contains the source variable(s)</t>
  </si>
  <si>
    <t>Name of the dataset that contains the source variable(s)</t>
  </si>
  <si>
    <t>Optional, source variable that was mapped from. You may also indicate that a mapping to a target variable was not done and leave this field empty (match = not available)</t>
  </si>
  <si>
    <t>Optional, variables from other source datasets. Initially one may only define mapping between releases</t>
  </si>
  <si>
    <t>Id of the resource that contains the target variable</t>
  </si>
  <si>
    <t>Name of the dataset that contains the target variable</t>
  </si>
  <si>
    <t>Target variable that was mapped to</t>
  </si>
  <si>
    <t>In case of mapping to a repeated variable, specify which repeats were mapped to</t>
  </si>
  <si>
    <t>Harmonisation match, i.e., complete, partial, na</t>
  </si>
  <si>
    <t>Human readible description of the mapping</t>
  </si>
  <si>
    <t>Formal definition of the mapping, ideally in executable code</t>
  </si>
  <si>
    <t>Additional notes or comments</t>
  </si>
  <si>
    <t>An organisation, department or individual</t>
  </si>
  <si>
    <t>Resource this Agent is associated with</t>
  </si>
  <si>
    <t>Internal identifier. Ideally fill out acronym for an organisation (e.g. UMCG) and full name for a person (e.g. Ada Lovelace)"</t>
  </si>
  <si>
    <t>Type of agent: person or organisation</t>
  </si>
  <si>
    <t>Name of the individual</t>
  </si>
  <si>
    <t>Organisation name from Research Organization Registry (ROR).</t>
  </si>
  <si>
    <t>If your organisation is not listed, please look up in ROR: https://ror.org/ and preferably provide ROR id, otherwise fill out your organisation name.</t>
  </si>
  <si>
    <t>Name of department within the organisation</t>
  </si>
  <si>
    <t>A website representing this Agent</t>
  </si>
  <si>
    <t>E-mail address to contact this organisation or individual</t>
  </si>
  <si>
    <t>Logo of the organisation</t>
  </si>
  <si>
    <t>Definition of a variable</t>
  </si>
  <si>
    <t>Resource that this variable is part of</t>
  </si>
  <si>
    <t>Dataset that this variable is part of</t>
  </si>
  <si>
    <t>Name of the variable, unique within a dataset</t>
  </si>
  <si>
    <t>Human readable name, if applicable</t>
  </si>
  <si>
    <t>Description of the variable</t>
  </si>
  <si>
    <t>In case of protocolised data collection this defines the moment(s) in time this variable is collected on</t>
  </si>
  <si>
    <t>Data type, e.g. string, integer, decimal, date, datetime, etc.</t>
  </si>
  <si>
    <t>In case of a continuous variable, the unit that the variable values are expressed in</t>
  </si>
  <si>
    <t>When this variable was introduced</t>
  </si>
  <si>
    <t>When this variable was removed, if applicable</t>
  </si>
  <si>
    <t>The repeat unit, in case the variable was repeatedly collected over time, e.g. month or week</t>
  </si>
  <si>
    <t>The first repeat unit</t>
  </si>
  <si>
    <t>The last repeat unit</t>
  </si>
  <si>
    <t>Example values for this variable</t>
  </si>
  <si>
    <t>Listing of variable values, filled out in Variable values table</t>
  </si>
  <si>
    <t>Keywords that will make the variable easier to find</t>
  </si>
  <si>
    <t>Vocabularies used to express the values of this variable</t>
  </si>
  <si>
    <t>Listing of harmonised variables this variable was mapped to, filled out in Variable mappings table</t>
  </si>
  <si>
    <t>Internal identifier(s) for this resource</t>
  </si>
  <si>
    <t>Resource that this internal identifier belongs to</t>
  </si>
  <si>
    <t>Internal identifier type</t>
  </si>
  <si>
    <t>If 'other', enter internal identifier type</t>
  </si>
  <si>
    <t xml:space="preserve">	Research organisations, departments and research groups</t>
  </si>
  <si>
    <t>Whether the organisation is the lead organisation of this resource</t>
  </si>
  <si>
    <t>Documentation attached to a resource</t>
  </si>
  <si>
    <t>The resource this documentation is for</t>
  </si>
  <si>
    <t>Document name</t>
  </si>
  <si>
    <t>Type of documentation</t>
  </si>
  <si>
    <t>Description of the document</t>
  </si>
  <si>
    <t>Hyperlink to the source of the documentation</t>
  </si>
  <si>
    <t>Optional file attachment containing the documentation</t>
  </si>
  <si>
    <t>Number of participants per cohort age group, optionally divided per sex</t>
  </si>
  <si>
    <t>Resource id</t>
  </si>
  <si>
    <t>Subpopulations for these counts</t>
  </si>
  <si>
    <t>Select the age group for these counts</t>
  </si>
  <si>
    <t>Total number</t>
  </si>
  <si>
    <t>Number of females</t>
  </si>
  <si>
    <t>Number of males</t>
  </si>
  <si>
    <t>DataCatalogueFlat,RWEStaging,CohortsStaging,StudiesStaging,NetworksStaging,UMCGCohortsStaging,UMCUCohorts</t>
  </si>
  <si>
    <t>DataCatalogueFlat,CohortsStaging,RWEStaging,NetworksStaging,StudiesStaging,UMCGCohortsStaging,UMCUCohorts,INTEGRATE</t>
  </si>
  <si>
    <t>DataCatalogueFlat,EMA,CohortsStaging,RWEStaging,NetworksStaging,StudiesStaging,UMCGCohortsStaging,UMCUCohorts,INTEGRATE</t>
  </si>
  <si>
    <t>DataCatalogueFlat,EMA,CohortsStaging,RWEStaging,NetworksStaging,StudiesStaging,UMCGCohortsStaging,UMCUCohorts,INTEGRATE,FAIR Genomes</t>
  </si>
  <si>
    <t>DataCatalogueFlat,CohortsStaging,RWEStaging,NetworksStaging,StudiesStaging,UMCGCohortsStaging,UMCUCohorts,INTEGRATE,FAIR Genomes</t>
  </si>
  <si>
    <t>DataCatalogueFlat,CohortsStaging,RWEStaging,NetworksStaging,StudiesStaging,UMCGCohortsStaging</t>
  </si>
  <si>
    <t>DataCatalogueFlat,CohortsStaging,RWEStaging,NetworksStaging,StudiesStaging,UMCGCohortsStaging,INTEGRATE</t>
  </si>
  <si>
    <t>DataCatalogueFlat,CohortsStaging,RWEStaging,NetworksStaging,StudiesStaging,UMCGCohortsStaging,UMCUCohorts</t>
  </si>
  <si>
    <t>DataCatalogueFlat,CohortsStaging,UMCGCohortsStaging,StudiesStaging,UMCUCohorts,INTEGRATE</t>
  </si>
  <si>
    <t>DataCatalogueFlat,CohortsStaging,UMCGCohortsStaging,UMCUCohorts,INTEGRATE</t>
  </si>
  <si>
    <t>DataCatalogueFlat,EMA,RWEStaging,CohortsStaging,StudiesStaging,UMCGCohortsStaging,NetworksStaging,UMCUCohorts,INTEGRATE</t>
  </si>
  <si>
    <t>DataCatalogueFlat,CohortsStaging,UMCGCohortsStaging,RWEStaging,UMCUCohorts,INTEGRATE</t>
  </si>
  <si>
    <t>DataCatalogueFlat,EMA,CohortsStaging,RWEStaging,NetworksStaging,StudiesStaging,UMCGCohortsStaging</t>
  </si>
  <si>
    <t>DataCatalogueFlat,EMA,CohortsStaging,RWEStaging,NetworksStaging,StudiesStaging,UMCGCohortsStaging,INTEGRATE</t>
  </si>
  <si>
    <t>DataCatalogueFlat,EMA,RWEStaging,CohortsStaging,UMCGCohortsStaging,UMCUCohorts,NetworksStaging,INTEGRATE</t>
  </si>
  <si>
    <t>DataCatalogueFlat,EMA,RWEStaging,CohortsStaging,UMCGCohortsStaging,UMCUCohorts,INTEGRATE</t>
  </si>
  <si>
    <t>DataCatalogueFlat,CohortsStaging,UMCGCohortsStaging,UMCUCohorts</t>
  </si>
  <si>
    <t>DataCatalogueFlat,EMA,CohortsStaging,RWEStaging,UMCGCohortsStaging,UMCUCohorts,INTEGRATE</t>
  </si>
  <si>
    <t>DataCatalogueFlat,CohortsStaging,RWEStaging,UMCGCohortsStaging,INTEGRATE</t>
  </si>
  <si>
    <t>DataCatalogueFlat,EMA,CohortsStaging,RWEStaging,UMCGCohortsStaging,NetworksStaging,UMCUCohorts,INTEGRATE</t>
  </si>
  <si>
    <t>DataCatalogueFlat,CohortsStaging,RWEStaging,UMCGCohortsStaging,UMCUCohorts,INTEGRATE</t>
  </si>
  <si>
    <t>DataCatalogueFlat,EMA,CohortsStaging,RWEStaging,NetworksStaging,StudiesStaging,UMCGCohortsStaging,UMCUCohorts</t>
  </si>
  <si>
    <t>DataCatalogueFlat,CohortsStaging,RWEStaging,StudiesStaging,UMCGCohortsStaging,UMCUCohorts</t>
  </si>
  <si>
    <t>DataCatalogueFlat,EMA,CohortsStaging,RWEStaging,StudiesStaging,UMCGCohortsStaging,UMCUCohorts</t>
  </si>
  <si>
    <t>DataCatalogueFlat,EMA,CohortsStaging,RWEStaging,StudiesStaging,UMCGCohortsStaging,UMCUCohorts,INTEGRATE</t>
  </si>
  <si>
    <t>DataCatalogueFlat,RWEStaging,CohortsStaging,StudiesStaging,UMCGCohortsStaging,UMCUCohorts</t>
  </si>
  <si>
    <t>DataCatalogueFlat,CohortsStaging,RWEStaging,NetworksStaging,StudiesStaging,UMCGCohortsStaging,INTEGRATE,FAIR Genomes</t>
  </si>
  <si>
    <t>DataCatalogueFlat,CohortsStaging,StudiesStaging,UMCGCohortsStaging,UMCUCohorts</t>
  </si>
  <si>
    <t>type?.some(item =&gt; item.name === 'Cohort study')</t>
  </si>
  <si>
    <t>type?.name === 'Individual'</t>
  </si>
  <si>
    <t>type?.name === 'Organisation'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</si>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</sst>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M2" t="s">
        <v>275</v>
      </c>
      <c r="N2" t="s">
        <v>496</v>
      </c>
    </row>
    <row r="3" spans="1:19">
      <c r="A3" t="s">
        <v>19</v>
      </c>
      <c r="C3" t="s">
        <v>36</v>
      </c>
      <c r="D3" t="s">
        <v>176</v>
      </c>
      <c r="E3" t="s">
        <v>190</v>
      </c>
      <c r="F3" t="s">
        <v>193</v>
      </c>
      <c r="H3" t="s">
        <v>27</v>
      </c>
      <c r="M3" t="s">
        <v>276</v>
      </c>
      <c r="N3" t="s">
        <v>496</v>
      </c>
    </row>
    <row r="4" spans="1:19">
      <c r="A4" t="s">
        <v>19</v>
      </c>
      <c r="C4" t="s">
        <v>37</v>
      </c>
      <c r="D4" t="s">
        <v>176</v>
      </c>
      <c r="E4" t="s">
        <v>190</v>
      </c>
      <c r="F4" t="s">
        <v>193</v>
      </c>
      <c r="H4" t="s">
        <v>22</v>
      </c>
      <c r="I4" t="s">
        <v>36</v>
      </c>
      <c r="M4" t="s">
        <v>277</v>
      </c>
      <c r="N4" t="s">
        <v>496</v>
      </c>
    </row>
    <row r="5" spans="1:19">
      <c r="A5" t="s">
        <v>19</v>
      </c>
      <c r="C5" t="s">
        <v>38</v>
      </c>
      <c r="D5" t="s">
        <v>176</v>
      </c>
      <c r="E5" t="s">
        <v>190</v>
      </c>
      <c r="F5" t="s">
        <v>193</v>
      </c>
      <c r="H5" t="s">
        <v>31</v>
      </c>
      <c r="I5" t="s">
        <v>37</v>
      </c>
      <c r="M5" t="s">
        <v>278</v>
      </c>
      <c r="N5" t="s">
        <v>496</v>
      </c>
    </row>
    <row r="6" spans="1:19">
      <c r="A6" t="s">
        <v>19</v>
      </c>
      <c r="C6" t="s">
        <v>39</v>
      </c>
      <c r="E6" t="s">
        <v>190</v>
      </c>
      <c r="F6" t="s">
        <v>193</v>
      </c>
      <c r="M6" t="s">
        <v>279</v>
      </c>
      <c r="N6" t="s">
        <v>496</v>
      </c>
    </row>
    <row r="7" spans="1:19">
      <c r="A7" t="s">
        <v>19</v>
      </c>
      <c r="C7" t="s">
        <v>15</v>
      </c>
      <c r="F7" t="s">
        <v>193</v>
      </c>
      <c r="M7" t="s">
        <v>280</v>
      </c>
      <c r="N7" t="s">
        <v>496</v>
      </c>
    </row>
    <row r="8" spans="1:19">
      <c r="A8" t="s">
        <v>19</v>
      </c>
      <c r="C8" t="s">
        <v>40</v>
      </c>
      <c r="D8" t="s">
        <v>177</v>
      </c>
      <c r="M8" t="s">
        <v>281</v>
      </c>
      <c r="N8" t="s">
        <v>496</v>
      </c>
    </row>
    <row r="9" spans="1:19">
      <c r="A9" t="s">
        <v>19</v>
      </c>
      <c r="C9" t="s">
        <v>41</v>
      </c>
      <c r="D9" t="s">
        <v>178</v>
      </c>
      <c r="M9" t="s">
        <v>282</v>
      </c>
      <c r="N9" t="s">
        <v>496</v>
      </c>
    </row>
    <row r="10" spans="1:19">
      <c r="A10" t="s">
        <v>19</v>
      </c>
      <c r="C10" t="s">
        <v>42</v>
      </c>
      <c r="M10" t="s">
        <v>283</v>
      </c>
      <c r="N10" t="s">
        <v>496</v>
      </c>
    </row>
    <row r="11" spans="1:19">
      <c r="A11" t="s">
        <v>19</v>
      </c>
      <c r="C11" t="s">
        <v>43</v>
      </c>
      <c r="M11" t="s">
        <v>284</v>
      </c>
      <c r="N11" t="s">
        <v>496</v>
      </c>
    </row>
    <row r="12" spans="1:19">
      <c r="A12" t="s">
        <v>19</v>
      </c>
      <c r="C12" t="s">
        <v>44</v>
      </c>
      <c r="M12" t="s">
        <v>285</v>
      </c>
      <c r="N12" t="s">
        <v>496</v>
      </c>
    </row>
    <row r="13" spans="1:19">
      <c r="A13" t="s">
        <v>20</v>
      </c>
      <c r="M13" t="s">
        <v>286</v>
      </c>
      <c r="N13" t="s">
        <v>497</v>
      </c>
    </row>
    <row r="14" spans="1:19">
      <c r="A14" t="s">
        <v>20</v>
      </c>
      <c r="C14" t="s">
        <v>36</v>
      </c>
      <c r="D14" t="s">
        <v>176</v>
      </c>
      <c r="E14" t="s">
        <v>190</v>
      </c>
      <c r="F14" t="s">
        <v>193</v>
      </c>
      <c r="H14" t="s">
        <v>27</v>
      </c>
      <c r="L14" t="s">
        <v>235</v>
      </c>
      <c r="M14" t="s">
        <v>287</v>
      </c>
      <c r="N14" t="s">
        <v>497</v>
      </c>
    </row>
    <row r="15" spans="1:19">
      <c r="A15" t="s">
        <v>20</v>
      </c>
      <c r="C15" t="s">
        <v>45</v>
      </c>
      <c r="D15" t="s">
        <v>179</v>
      </c>
      <c r="E15" t="s">
        <v>190</v>
      </c>
      <c r="F15" t="s">
        <v>193</v>
      </c>
      <c r="M15" t="s">
        <v>288</v>
      </c>
      <c r="N15" t="s">
        <v>498</v>
      </c>
    </row>
    <row r="16" spans="1:19">
      <c r="A16" t="s">
        <v>20</v>
      </c>
      <c r="C16" t="s">
        <v>46</v>
      </c>
      <c r="F16" t="s">
        <v>193</v>
      </c>
      <c r="M16" t="s">
        <v>289</v>
      </c>
      <c r="N16" t="s">
        <v>498</v>
      </c>
    </row>
    <row r="17" spans="1:14">
      <c r="A17" t="s">
        <v>20</v>
      </c>
      <c r="C17" t="s">
        <v>47</v>
      </c>
      <c r="D17" t="s">
        <v>178</v>
      </c>
      <c r="M17" t="s">
        <v>290</v>
      </c>
      <c r="N17" t="s">
        <v>498</v>
      </c>
    </row>
    <row r="18" spans="1:14">
      <c r="A18" t="s">
        <v>21</v>
      </c>
      <c r="L18" t="s">
        <v>236</v>
      </c>
      <c r="M18" t="s">
        <v>291</v>
      </c>
      <c r="N18" t="s">
        <v>498</v>
      </c>
    </row>
    <row r="19" spans="1:14">
      <c r="A19" t="s">
        <v>21</v>
      </c>
      <c r="C19" t="s">
        <v>36</v>
      </c>
      <c r="D19" t="s">
        <v>176</v>
      </c>
      <c r="E19" t="s">
        <v>190</v>
      </c>
      <c r="F19" t="s">
        <v>193</v>
      </c>
      <c r="H19" t="s">
        <v>27</v>
      </c>
      <c r="M19" t="s">
        <v>292</v>
      </c>
      <c r="N19" t="s">
        <v>498</v>
      </c>
    </row>
    <row r="20" spans="1:14">
      <c r="A20" t="s">
        <v>21</v>
      </c>
      <c r="C20" t="s">
        <v>48</v>
      </c>
      <c r="D20" t="s">
        <v>180</v>
      </c>
      <c r="G20" t="s">
        <v>197</v>
      </c>
      <c r="H20" t="s">
        <v>199</v>
      </c>
      <c r="L20" t="s">
        <v>237</v>
      </c>
      <c r="M20" t="s">
        <v>293</v>
      </c>
      <c r="N20" t="s">
        <v>499</v>
      </c>
    </row>
    <row r="21" spans="1:14">
      <c r="A21" t="s">
        <v>21</v>
      </c>
      <c r="C21" t="s">
        <v>49</v>
      </c>
      <c r="E21" t="s">
        <v>190</v>
      </c>
      <c r="F21" t="s">
        <v>193</v>
      </c>
      <c r="L21" t="s">
        <v>238</v>
      </c>
      <c r="M21" t="s">
        <v>294</v>
      </c>
      <c r="N21" t="s">
        <v>499</v>
      </c>
    </row>
    <row r="22" spans="1:14">
      <c r="A22" t="s">
        <v>21</v>
      </c>
      <c r="C22" t="s">
        <v>50</v>
      </c>
      <c r="E22" t="s">
        <v>190</v>
      </c>
      <c r="F22" t="s">
        <v>193</v>
      </c>
      <c r="L22" t="s">
        <v>239</v>
      </c>
      <c r="M22" t="s">
        <v>295</v>
      </c>
      <c r="N22" t="s">
        <v>499</v>
      </c>
    </row>
    <row r="23" spans="1:14">
      <c r="A23" t="s">
        <v>21</v>
      </c>
      <c r="C23" t="s">
        <v>51</v>
      </c>
      <c r="D23" t="s">
        <v>178</v>
      </c>
      <c r="F23" t="s">
        <v>193</v>
      </c>
      <c r="M23" t="s">
        <v>296</v>
      </c>
      <c r="N23" t="s">
        <v>82</v>
      </c>
    </row>
    <row r="24" spans="1:14">
      <c r="A24" t="s">
        <v>21</v>
      </c>
      <c r="C24" t="s">
        <v>52</v>
      </c>
      <c r="M24" t="s">
        <v>297</v>
      </c>
      <c r="N24" t="s">
        <v>500</v>
      </c>
    </row>
    <row r="25" spans="1:14">
      <c r="A25" t="s">
        <v>21</v>
      </c>
      <c r="C25" t="s">
        <v>53</v>
      </c>
      <c r="M25" t="s">
        <v>298</v>
      </c>
      <c r="N25" t="s">
        <v>500</v>
      </c>
    </row>
    <row r="26" spans="1:14">
      <c r="A26" t="s">
        <v>21</v>
      </c>
      <c r="C26" t="s">
        <v>46</v>
      </c>
      <c r="D26" t="s">
        <v>181</v>
      </c>
      <c r="G26" t="s">
        <v>197</v>
      </c>
      <c r="H26" t="s">
        <v>200</v>
      </c>
      <c r="L26" t="s">
        <v>240</v>
      </c>
      <c r="M26" t="s">
        <v>299</v>
      </c>
      <c r="N26" t="s">
        <v>499</v>
      </c>
    </row>
    <row r="27" spans="1:14">
      <c r="A27" t="s">
        <v>21</v>
      </c>
      <c r="C27" t="s">
        <v>54</v>
      </c>
      <c r="D27" t="s">
        <v>176</v>
      </c>
      <c r="H27" t="s">
        <v>33</v>
      </c>
      <c r="I27" t="s">
        <v>36</v>
      </c>
      <c r="L27" t="s">
        <v>241</v>
      </c>
      <c r="M27" t="s">
        <v>300</v>
      </c>
      <c r="N27" t="s">
        <v>498</v>
      </c>
    </row>
    <row r="28" spans="1:14">
      <c r="A28" t="s">
        <v>21</v>
      </c>
      <c r="C28" t="s">
        <v>55</v>
      </c>
      <c r="D28" t="s">
        <v>55</v>
      </c>
      <c r="F28" t="s">
        <v>194</v>
      </c>
      <c r="L28" t="s">
        <v>242</v>
      </c>
      <c r="M28" t="s">
        <v>301</v>
      </c>
      <c r="N28" t="s">
        <v>500</v>
      </c>
    </row>
    <row r="29" spans="1:14">
      <c r="A29" t="s">
        <v>21</v>
      </c>
      <c r="C29" t="s">
        <v>56</v>
      </c>
      <c r="L29" t="s">
        <v>243</v>
      </c>
      <c r="M29" t="s">
        <v>302</v>
      </c>
      <c r="N29" t="s">
        <v>497</v>
      </c>
    </row>
    <row r="30" spans="1:14">
      <c r="A30" t="s">
        <v>21</v>
      </c>
      <c r="C30" t="s">
        <v>57</v>
      </c>
      <c r="D30" t="s">
        <v>179</v>
      </c>
      <c r="L30" t="s">
        <v>244</v>
      </c>
      <c r="M30" t="s">
        <v>303</v>
      </c>
      <c r="N30" t="s">
        <v>497</v>
      </c>
    </row>
    <row r="31" spans="1:14">
      <c r="A31" t="s">
        <v>21</v>
      </c>
      <c r="C31" t="s">
        <v>58</v>
      </c>
      <c r="D31" t="s">
        <v>170</v>
      </c>
      <c r="L31" t="s">
        <v>245</v>
      </c>
      <c r="M31" t="s">
        <v>304</v>
      </c>
      <c r="N31" t="s">
        <v>501</v>
      </c>
    </row>
    <row r="32" spans="1:14">
      <c r="A32" t="s">
        <v>21</v>
      </c>
      <c r="C32" t="s">
        <v>59</v>
      </c>
      <c r="M32" t="s">
        <v>305</v>
      </c>
      <c r="N32" t="s">
        <v>502</v>
      </c>
    </row>
    <row r="33" spans="1:14">
      <c r="A33" t="s">
        <v>22</v>
      </c>
      <c r="M33" t="s">
        <v>306</v>
      </c>
      <c r="N33" t="s">
        <v>503</v>
      </c>
    </row>
    <row r="34" spans="1:14">
      <c r="A34" t="s">
        <v>22</v>
      </c>
      <c r="C34" t="s">
        <v>36</v>
      </c>
      <c r="D34" t="s">
        <v>176</v>
      </c>
      <c r="E34" t="s">
        <v>190</v>
      </c>
      <c r="F34" t="s">
        <v>193</v>
      </c>
      <c r="H34" t="s">
        <v>27</v>
      </c>
      <c r="M34" t="s">
        <v>307</v>
      </c>
      <c r="N34" t="s">
        <v>503</v>
      </c>
    </row>
    <row r="35" spans="1:14">
      <c r="A35" t="s">
        <v>22</v>
      </c>
      <c r="C35" t="s">
        <v>60</v>
      </c>
      <c r="E35" t="s">
        <v>190</v>
      </c>
      <c r="F35" t="s">
        <v>193</v>
      </c>
      <c r="M35" t="s">
        <v>308</v>
      </c>
      <c r="N35" t="s">
        <v>503</v>
      </c>
    </row>
    <row r="36" spans="1:14">
      <c r="A36" t="s">
        <v>22</v>
      </c>
      <c r="C36" t="s">
        <v>15</v>
      </c>
      <c r="M36" t="s">
        <v>309</v>
      </c>
      <c r="N36" t="s">
        <v>503</v>
      </c>
    </row>
    <row r="37" spans="1:14">
      <c r="A37" t="s">
        <v>22</v>
      </c>
      <c r="C37" t="s">
        <v>61</v>
      </c>
      <c r="D37" t="s">
        <v>180</v>
      </c>
      <c r="G37" t="s">
        <v>197</v>
      </c>
      <c r="H37" t="s">
        <v>201</v>
      </c>
      <c r="M37" t="s">
        <v>310</v>
      </c>
      <c r="N37" t="s">
        <v>503</v>
      </c>
    </row>
    <row r="38" spans="1:14">
      <c r="A38" t="s">
        <v>22</v>
      </c>
      <c r="C38" t="s">
        <v>62</v>
      </c>
      <c r="D38" t="s">
        <v>181</v>
      </c>
      <c r="G38" t="s">
        <v>197</v>
      </c>
      <c r="H38" t="s">
        <v>202</v>
      </c>
      <c r="M38" t="s">
        <v>311</v>
      </c>
      <c r="N38" t="s">
        <v>503</v>
      </c>
    </row>
    <row r="39" spans="1:14">
      <c r="A39" t="s">
        <v>22</v>
      </c>
      <c r="C39" t="s">
        <v>63</v>
      </c>
      <c r="D39" t="s">
        <v>180</v>
      </c>
      <c r="G39" t="s">
        <v>197</v>
      </c>
      <c r="H39" t="s">
        <v>203</v>
      </c>
      <c r="M39" t="s">
        <v>312</v>
      </c>
      <c r="N39" t="s">
        <v>503</v>
      </c>
    </row>
    <row r="40" spans="1:14">
      <c r="A40" t="s">
        <v>22</v>
      </c>
      <c r="C40" t="s">
        <v>12</v>
      </c>
      <c r="D40" t="s">
        <v>182</v>
      </c>
      <c r="M40" t="s">
        <v>313</v>
      </c>
      <c r="N40" t="s">
        <v>503</v>
      </c>
    </row>
    <row r="41" spans="1:14">
      <c r="A41" t="s">
        <v>22</v>
      </c>
      <c r="C41" t="s">
        <v>64</v>
      </c>
      <c r="D41" t="s">
        <v>177</v>
      </c>
      <c r="M41" t="s">
        <v>314</v>
      </c>
      <c r="N41" t="s">
        <v>503</v>
      </c>
    </row>
    <row r="42" spans="1:14">
      <c r="A42" t="s">
        <v>22</v>
      </c>
      <c r="C42" t="s">
        <v>43</v>
      </c>
      <c r="M42" t="s">
        <v>315</v>
      </c>
      <c r="N42" t="s">
        <v>503</v>
      </c>
    </row>
    <row r="43" spans="1:14">
      <c r="A43" t="s">
        <v>22</v>
      </c>
      <c r="C43" t="s">
        <v>44</v>
      </c>
      <c r="M43" t="s">
        <v>316</v>
      </c>
      <c r="N43" t="s">
        <v>503</v>
      </c>
    </row>
    <row r="44" spans="1:14">
      <c r="A44" t="s">
        <v>23</v>
      </c>
      <c r="M44" t="s">
        <v>317</v>
      </c>
      <c r="N44" t="s">
        <v>504</v>
      </c>
    </row>
    <row r="45" spans="1:14">
      <c r="A45" t="s">
        <v>23</v>
      </c>
      <c r="C45" t="s">
        <v>36</v>
      </c>
      <c r="D45" t="s">
        <v>176</v>
      </c>
      <c r="E45" t="s">
        <v>190</v>
      </c>
      <c r="F45" t="s">
        <v>193</v>
      </c>
      <c r="H45" t="s">
        <v>27</v>
      </c>
      <c r="L45" t="s">
        <v>246</v>
      </c>
      <c r="M45" t="s">
        <v>318</v>
      </c>
      <c r="N45" t="s">
        <v>504</v>
      </c>
    </row>
    <row r="46" spans="1:14">
      <c r="A46" t="s">
        <v>23</v>
      </c>
      <c r="C46" t="s">
        <v>60</v>
      </c>
      <c r="E46" t="s">
        <v>190</v>
      </c>
      <c r="F46" t="s">
        <v>193</v>
      </c>
      <c r="L46" t="s">
        <v>247</v>
      </c>
      <c r="M46" t="s">
        <v>319</v>
      </c>
      <c r="N46" t="s">
        <v>504</v>
      </c>
    </row>
    <row r="47" spans="1:14">
      <c r="A47" t="s">
        <v>23</v>
      </c>
      <c r="C47" t="s">
        <v>65</v>
      </c>
      <c r="L47" t="s">
        <v>243</v>
      </c>
      <c r="M47" t="s">
        <v>320</v>
      </c>
      <c r="N47" t="s">
        <v>505</v>
      </c>
    </row>
    <row r="48" spans="1:14">
      <c r="A48" t="s">
        <v>23</v>
      </c>
      <c r="C48" t="s">
        <v>12</v>
      </c>
      <c r="D48" t="s">
        <v>182</v>
      </c>
      <c r="L48" t="s">
        <v>248</v>
      </c>
      <c r="M48" t="s">
        <v>321</v>
      </c>
      <c r="N48" t="s">
        <v>504</v>
      </c>
    </row>
    <row r="49" spans="1:19">
      <c r="A49" t="s">
        <v>23</v>
      </c>
      <c r="C49" t="s">
        <v>66</v>
      </c>
      <c r="D49" t="s">
        <v>183</v>
      </c>
      <c r="H49" t="s">
        <v>28</v>
      </c>
      <c r="I49" t="s">
        <v>36</v>
      </c>
      <c r="L49" t="s">
        <v>246</v>
      </c>
      <c r="M49" t="s">
        <v>322</v>
      </c>
      <c r="N49" t="s">
        <v>505</v>
      </c>
    </row>
    <row r="50" spans="1:19">
      <c r="A50" t="s">
        <v>23</v>
      </c>
      <c r="C50" t="s">
        <v>63</v>
      </c>
      <c r="D50" t="s">
        <v>184</v>
      </c>
      <c r="L50" t="s">
        <v>249</v>
      </c>
      <c r="M50" t="s">
        <v>323</v>
      </c>
      <c r="N50" t="s">
        <v>505</v>
      </c>
    </row>
    <row r="51" spans="1:19">
      <c r="A51" t="s">
        <v>23</v>
      </c>
      <c r="C51" t="s">
        <v>67</v>
      </c>
      <c r="D51" t="s">
        <v>185</v>
      </c>
      <c r="L51" t="s">
        <v>250</v>
      </c>
      <c r="M51" t="s">
        <v>324</v>
      </c>
      <c r="N51" t="s">
        <v>504</v>
      </c>
    </row>
    <row r="52" spans="1:19">
      <c r="A52" t="s">
        <v>23</v>
      </c>
      <c r="C52" t="s">
        <v>68</v>
      </c>
      <c r="D52" t="s">
        <v>185</v>
      </c>
      <c r="L52" t="s">
        <v>251</v>
      </c>
      <c r="M52" t="s">
        <v>325</v>
      </c>
      <c r="N52" t="s">
        <v>504</v>
      </c>
    </row>
    <row r="53" spans="1:19">
      <c r="A53" t="s">
        <v>23</v>
      </c>
      <c r="C53" t="s">
        <v>69</v>
      </c>
      <c r="D53" t="s">
        <v>180</v>
      </c>
      <c r="G53" t="s">
        <v>197</v>
      </c>
      <c r="H53" t="s">
        <v>204</v>
      </c>
      <c r="M53" t="s">
        <v>326</v>
      </c>
      <c r="N53" t="s">
        <v>504</v>
      </c>
    </row>
    <row r="54" spans="1:19">
      <c r="A54" t="s">
        <v>23</v>
      </c>
      <c r="C54" t="s">
        <v>70</v>
      </c>
      <c r="D54" t="s">
        <v>177</v>
      </c>
      <c r="M54" t="s">
        <v>327</v>
      </c>
      <c r="N54" t="s">
        <v>504</v>
      </c>
    </row>
    <row r="55" spans="1:19">
      <c r="A55" t="s">
        <v>23</v>
      </c>
      <c r="C55" t="s">
        <v>71</v>
      </c>
      <c r="D55" t="s">
        <v>180</v>
      </c>
      <c r="G55" t="s">
        <v>197</v>
      </c>
      <c r="H55" t="s">
        <v>205</v>
      </c>
      <c r="M55" t="s">
        <v>328</v>
      </c>
      <c r="N55" t="s">
        <v>504</v>
      </c>
    </row>
    <row r="56" spans="1:19">
      <c r="A56" t="s">
        <v>23</v>
      </c>
      <c r="C56" t="s">
        <v>72</v>
      </c>
      <c r="D56" t="s">
        <v>180</v>
      </c>
      <c r="G56" t="s">
        <v>197</v>
      </c>
      <c r="H56" t="s">
        <v>206</v>
      </c>
      <c r="M56" t="s">
        <v>329</v>
      </c>
      <c r="N56" t="s">
        <v>504</v>
      </c>
    </row>
    <row r="57" spans="1:19">
      <c r="A57" t="s">
        <v>23</v>
      </c>
      <c r="C57" t="s">
        <v>73</v>
      </c>
      <c r="D57" t="s">
        <v>180</v>
      </c>
      <c r="G57" t="s">
        <v>197</v>
      </c>
      <c r="H57" t="s">
        <v>207</v>
      </c>
      <c r="M57" t="s">
        <v>330</v>
      </c>
      <c r="N57" t="s">
        <v>504</v>
      </c>
    </row>
    <row r="58" spans="1:19">
      <c r="A58" t="s">
        <v>23</v>
      </c>
      <c r="C58" t="s">
        <v>74</v>
      </c>
      <c r="D58" t="s">
        <v>180</v>
      </c>
      <c r="G58" t="s">
        <v>197</v>
      </c>
      <c r="H58" t="s">
        <v>208</v>
      </c>
      <c r="M58" t="s">
        <v>331</v>
      </c>
      <c r="N58" t="s">
        <v>504</v>
      </c>
    </row>
    <row r="59" spans="1:19">
      <c r="A59" t="s">
        <v>23</v>
      </c>
      <c r="C59" t="s">
        <v>75</v>
      </c>
      <c r="D59" t="s">
        <v>182</v>
      </c>
      <c r="M59" t="s">
        <v>332</v>
      </c>
      <c r="N59" t="s">
        <v>504</v>
      </c>
    </row>
    <row r="60" spans="1:19">
      <c r="A60" t="s">
        <v>23</v>
      </c>
      <c r="C60" t="s">
        <v>76</v>
      </c>
      <c r="D60" t="s">
        <v>184</v>
      </c>
      <c r="M60" t="s">
        <v>333</v>
      </c>
      <c r="N60" t="s">
        <v>504</v>
      </c>
    </row>
    <row r="61" spans="1:19">
      <c r="A61" t="s">
        <v>23</v>
      </c>
      <c r="C61" t="s">
        <v>77</v>
      </c>
      <c r="D61" t="s">
        <v>186</v>
      </c>
      <c r="L61" t="s">
        <v>252</v>
      </c>
      <c r="M61" t="s">
        <v>334</v>
      </c>
      <c r="N61" t="s">
        <v>504</v>
      </c>
    </row>
    <row r="62" spans="1:19">
      <c r="A62" t="s">
        <v>23</v>
      </c>
      <c r="C62" t="s">
        <v>78</v>
      </c>
      <c r="D62" t="s">
        <v>186</v>
      </c>
      <c r="L62" t="s">
        <v>253</v>
      </c>
      <c r="M62" t="s">
        <v>335</v>
      </c>
      <c r="N62" t="s">
        <v>504</v>
      </c>
    </row>
    <row r="63" spans="1:19">
      <c r="A63" t="s">
        <v>23</v>
      </c>
      <c r="C63" t="s">
        <v>79</v>
      </c>
      <c r="D63" t="s">
        <v>180</v>
      </c>
      <c r="G63" t="s">
        <v>197</v>
      </c>
      <c r="H63" t="s">
        <v>209</v>
      </c>
      <c r="L63" t="s">
        <v>254</v>
      </c>
      <c r="M63" t="s">
        <v>336</v>
      </c>
      <c r="N63" t="s">
        <v>505</v>
      </c>
      <c r="S63">
        <f> [{name: 'Health'}]</f>
        <v>0</v>
      </c>
    </row>
    <row r="64" spans="1:19">
      <c r="A64" t="s">
        <v>23</v>
      </c>
      <c r="C64" t="s">
        <v>80</v>
      </c>
      <c r="D64" t="s">
        <v>181</v>
      </c>
      <c r="G64" t="s">
        <v>197</v>
      </c>
      <c r="H64" t="s">
        <v>210</v>
      </c>
      <c r="L64" t="s">
        <v>255</v>
      </c>
      <c r="M64" t="s">
        <v>337</v>
      </c>
      <c r="N64" t="s">
        <v>505</v>
      </c>
      <c r="S64">
        <f> {name: 'Non public'</f>
        <v>0</v>
      </c>
    </row>
    <row r="65" spans="1:19">
      <c r="A65" t="s">
        <v>23</v>
      </c>
      <c r="C65" t="s">
        <v>81</v>
      </c>
      <c r="D65" t="s">
        <v>180</v>
      </c>
      <c r="G65" t="s">
        <v>197</v>
      </c>
      <c r="H65" t="s">
        <v>211</v>
      </c>
      <c r="L65" t="s">
        <v>256</v>
      </c>
      <c r="M65" t="s">
        <v>338</v>
      </c>
      <c r="N65" t="s">
        <v>505</v>
      </c>
      <c r="S65">
        <f> [{name: 'Data Governance Act'}]</f>
        <v>0</v>
      </c>
    </row>
    <row r="66" spans="1:19">
      <c r="A66" t="s">
        <v>24</v>
      </c>
      <c r="M66" t="s">
        <v>82</v>
      </c>
      <c r="N66" t="s">
        <v>82</v>
      </c>
    </row>
    <row r="67" spans="1:19">
      <c r="A67" t="s">
        <v>24</v>
      </c>
      <c r="C67" t="s">
        <v>82</v>
      </c>
      <c r="M67" t="s">
        <v>82</v>
      </c>
      <c r="N67" t="s">
        <v>82</v>
      </c>
    </row>
    <row r="68" spans="1:19">
      <c r="A68" t="s">
        <v>25</v>
      </c>
      <c r="M68" t="s">
        <v>339</v>
      </c>
      <c r="N68" t="s">
        <v>498</v>
      </c>
    </row>
    <row r="69" spans="1:19">
      <c r="A69" t="s">
        <v>25</v>
      </c>
      <c r="C69" t="s">
        <v>36</v>
      </c>
      <c r="D69" t="s">
        <v>176</v>
      </c>
      <c r="E69" t="s">
        <v>190</v>
      </c>
      <c r="F69" t="s">
        <v>193</v>
      </c>
      <c r="H69" t="s">
        <v>27</v>
      </c>
      <c r="M69" t="s">
        <v>340</v>
      </c>
      <c r="N69" t="s">
        <v>498</v>
      </c>
    </row>
    <row r="70" spans="1:19">
      <c r="A70" t="s">
        <v>25</v>
      </c>
      <c r="C70" t="s">
        <v>83</v>
      </c>
      <c r="D70" t="s">
        <v>182</v>
      </c>
      <c r="E70" t="s">
        <v>190</v>
      </c>
      <c r="F70" t="s">
        <v>193</v>
      </c>
      <c r="M70" t="s">
        <v>341</v>
      </c>
      <c r="N70" t="s">
        <v>498</v>
      </c>
    </row>
    <row r="71" spans="1:19">
      <c r="A71" t="s">
        <v>25</v>
      </c>
      <c r="C71" t="s">
        <v>84</v>
      </c>
      <c r="D71" t="s">
        <v>181</v>
      </c>
      <c r="G71" t="s">
        <v>197</v>
      </c>
      <c r="H71" t="s">
        <v>212</v>
      </c>
      <c r="M71" t="s">
        <v>342</v>
      </c>
      <c r="N71" t="s">
        <v>498</v>
      </c>
    </row>
    <row r="72" spans="1:19">
      <c r="A72" t="s">
        <v>25</v>
      </c>
      <c r="C72" t="s">
        <v>85</v>
      </c>
      <c r="D72" t="s">
        <v>182</v>
      </c>
      <c r="M72" t="s">
        <v>343</v>
      </c>
      <c r="N72" t="s">
        <v>497</v>
      </c>
    </row>
    <row r="73" spans="1:19">
      <c r="A73" t="s">
        <v>26</v>
      </c>
      <c r="M73" t="s">
        <v>344</v>
      </c>
      <c r="N73" t="s">
        <v>506</v>
      </c>
    </row>
    <row r="74" spans="1:19">
      <c r="A74" t="s">
        <v>27</v>
      </c>
      <c r="C74" t="s">
        <v>86</v>
      </c>
      <c r="D74" t="s">
        <v>187</v>
      </c>
      <c r="M74" t="s">
        <v>345</v>
      </c>
      <c r="N74" t="s">
        <v>498</v>
      </c>
    </row>
    <row r="75" spans="1:19">
      <c r="A75" t="s">
        <v>27</v>
      </c>
      <c r="C75" t="s">
        <v>87</v>
      </c>
      <c r="D75" t="s">
        <v>178</v>
      </c>
      <c r="M75" t="s">
        <v>346</v>
      </c>
      <c r="N75" t="s">
        <v>498</v>
      </c>
    </row>
    <row r="76" spans="1:19">
      <c r="A76" t="s">
        <v>27</v>
      </c>
      <c r="C76" t="s">
        <v>88</v>
      </c>
      <c r="E76" t="s">
        <v>190</v>
      </c>
      <c r="F76" t="s">
        <v>193</v>
      </c>
      <c r="M76" t="s">
        <v>347</v>
      </c>
      <c r="N76" t="s">
        <v>498</v>
      </c>
    </row>
    <row r="77" spans="1:19">
      <c r="A77" t="s">
        <v>27</v>
      </c>
      <c r="C77" t="s">
        <v>65</v>
      </c>
      <c r="E77" t="s">
        <v>191</v>
      </c>
      <c r="L77" t="s">
        <v>243</v>
      </c>
      <c r="M77" t="s">
        <v>348</v>
      </c>
      <c r="N77" t="s">
        <v>498</v>
      </c>
    </row>
    <row r="78" spans="1:19">
      <c r="A78" t="s">
        <v>27</v>
      </c>
      <c r="C78" t="s">
        <v>60</v>
      </c>
      <c r="D78" t="s">
        <v>182</v>
      </c>
      <c r="E78" t="s">
        <v>192</v>
      </c>
      <c r="F78" t="s">
        <v>193</v>
      </c>
      <c r="L78" t="s">
        <v>247</v>
      </c>
      <c r="M78" t="s">
        <v>349</v>
      </c>
      <c r="N78" t="s">
        <v>498</v>
      </c>
    </row>
    <row r="79" spans="1:19">
      <c r="A79" t="s">
        <v>27</v>
      </c>
      <c r="C79" t="s">
        <v>89</v>
      </c>
      <c r="L79" t="s">
        <v>257</v>
      </c>
      <c r="M79" t="s">
        <v>350</v>
      </c>
      <c r="N79" t="s">
        <v>498</v>
      </c>
    </row>
    <row r="80" spans="1:19">
      <c r="A80" t="s">
        <v>27</v>
      </c>
      <c r="C80" t="s">
        <v>90</v>
      </c>
      <c r="D80" t="s">
        <v>180</v>
      </c>
      <c r="F80" t="s">
        <v>193</v>
      </c>
      <c r="G80" t="s">
        <v>197</v>
      </c>
      <c r="H80" t="s">
        <v>213</v>
      </c>
      <c r="M80" t="s">
        <v>351</v>
      </c>
      <c r="N80" t="s">
        <v>497</v>
      </c>
    </row>
    <row r="81" spans="1:15">
      <c r="A81" t="s">
        <v>27</v>
      </c>
      <c r="C81" t="s">
        <v>91</v>
      </c>
      <c r="D81" t="s">
        <v>180</v>
      </c>
      <c r="G81" t="s">
        <v>197</v>
      </c>
      <c r="H81" t="s">
        <v>214</v>
      </c>
      <c r="M81" t="s">
        <v>352</v>
      </c>
      <c r="N81" t="s">
        <v>505</v>
      </c>
      <c r="O81" t="s">
        <v>524</v>
      </c>
    </row>
    <row r="82" spans="1:15">
      <c r="A82" t="s">
        <v>27</v>
      </c>
      <c r="C82" t="s">
        <v>92</v>
      </c>
      <c r="D82" t="s">
        <v>179</v>
      </c>
      <c r="L82" t="s">
        <v>258</v>
      </c>
      <c r="M82" t="s">
        <v>353</v>
      </c>
      <c r="N82" t="s">
        <v>498</v>
      </c>
    </row>
    <row r="83" spans="1:15">
      <c r="A83" t="s">
        <v>27</v>
      </c>
      <c r="C83" t="s">
        <v>12</v>
      </c>
      <c r="D83" t="s">
        <v>182</v>
      </c>
      <c r="F83" t="s">
        <v>195</v>
      </c>
      <c r="L83" t="s">
        <v>248</v>
      </c>
      <c r="M83" t="s">
        <v>354</v>
      </c>
      <c r="N83" t="s">
        <v>498</v>
      </c>
    </row>
    <row r="84" spans="1:15">
      <c r="A84" t="s">
        <v>27</v>
      </c>
      <c r="C84" t="s">
        <v>63</v>
      </c>
      <c r="D84" t="s">
        <v>184</v>
      </c>
      <c r="F84" t="s">
        <v>196</v>
      </c>
      <c r="L84" t="s">
        <v>249</v>
      </c>
      <c r="M84" t="s">
        <v>355</v>
      </c>
      <c r="N84" t="s">
        <v>507</v>
      </c>
    </row>
    <row r="85" spans="1:15">
      <c r="A85" t="s">
        <v>27</v>
      </c>
      <c r="C85" t="s">
        <v>93</v>
      </c>
      <c r="D85" t="s">
        <v>188</v>
      </c>
      <c r="H85" t="s">
        <v>32</v>
      </c>
      <c r="J85" t="s">
        <v>36</v>
      </c>
      <c r="M85" t="s">
        <v>356</v>
      </c>
      <c r="N85" t="s">
        <v>508</v>
      </c>
    </row>
    <row r="86" spans="1:15">
      <c r="A86" t="s">
        <v>27</v>
      </c>
      <c r="C86" t="s">
        <v>94</v>
      </c>
      <c r="D86" t="s">
        <v>188</v>
      </c>
      <c r="H86" t="s">
        <v>25</v>
      </c>
      <c r="J86" t="s">
        <v>36</v>
      </c>
      <c r="M86" t="s">
        <v>357</v>
      </c>
      <c r="N86" t="s">
        <v>509</v>
      </c>
    </row>
    <row r="87" spans="1:15">
      <c r="A87" t="s">
        <v>27</v>
      </c>
      <c r="C87" t="s">
        <v>95</v>
      </c>
      <c r="D87" t="s">
        <v>177</v>
      </c>
      <c r="L87" t="s">
        <v>250</v>
      </c>
      <c r="M87" t="s">
        <v>358</v>
      </c>
      <c r="N87" t="s">
        <v>510</v>
      </c>
    </row>
    <row r="88" spans="1:15">
      <c r="A88" t="s">
        <v>27</v>
      </c>
      <c r="C88" t="s">
        <v>96</v>
      </c>
      <c r="D88" t="s">
        <v>177</v>
      </c>
      <c r="L88" t="s">
        <v>251</v>
      </c>
      <c r="M88" t="s">
        <v>359</v>
      </c>
      <c r="N88" t="s">
        <v>510</v>
      </c>
    </row>
    <row r="89" spans="1:15">
      <c r="A89" t="s">
        <v>27</v>
      </c>
      <c r="C89" t="s">
        <v>97</v>
      </c>
      <c r="D89" t="s">
        <v>55</v>
      </c>
      <c r="M89" t="s">
        <v>360</v>
      </c>
      <c r="N89" t="s">
        <v>502</v>
      </c>
    </row>
    <row r="90" spans="1:15">
      <c r="A90" t="s">
        <v>27</v>
      </c>
      <c r="C90" t="s">
        <v>98</v>
      </c>
      <c r="D90" t="s">
        <v>170</v>
      </c>
      <c r="M90" t="s">
        <v>361</v>
      </c>
      <c r="N90" t="s">
        <v>497</v>
      </c>
    </row>
    <row r="91" spans="1:15">
      <c r="A91" t="s">
        <v>27</v>
      </c>
      <c r="C91" t="s">
        <v>77</v>
      </c>
      <c r="D91" t="s">
        <v>186</v>
      </c>
      <c r="L91" t="s">
        <v>259</v>
      </c>
      <c r="M91" t="s">
        <v>362</v>
      </c>
      <c r="N91" t="s">
        <v>510</v>
      </c>
    </row>
    <row r="92" spans="1:15">
      <c r="A92" t="s">
        <v>27</v>
      </c>
      <c r="C92" t="s">
        <v>78</v>
      </c>
      <c r="D92" t="s">
        <v>186</v>
      </c>
      <c r="L92" t="s">
        <v>260</v>
      </c>
      <c r="M92" t="s">
        <v>363</v>
      </c>
      <c r="N92" t="s">
        <v>510</v>
      </c>
    </row>
    <row r="93" spans="1:15">
      <c r="A93" t="s">
        <v>27</v>
      </c>
      <c r="C93" t="s">
        <v>99</v>
      </c>
      <c r="D93" t="s">
        <v>187</v>
      </c>
      <c r="M93" t="s">
        <v>364</v>
      </c>
      <c r="N93" t="s">
        <v>498</v>
      </c>
    </row>
    <row r="94" spans="1:15">
      <c r="A94" t="s">
        <v>27</v>
      </c>
      <c r="C94" t="s">
        <v>100</v>
      </c>
      <c r="D94" t="s">
        <v>181</v>
      </c>
      <c r="G94" t="s">
        <v>197</v>
      </c>
      <c r="H94" t="s">
        <v>215</v>
      </c>
      <c r="M94" t="s">
        <v>365</v>
      </c>
      <c r="N94" t="s">
        <v>505</v>
      </c>
    </row>
    <row r="95" spans="1:15">
      <c r="A95" t="s">
        <v>27</v>
      </c>
      <c r="C95" t="s">
        <v>101</v>
      </c>
      <c r="D95" t="s">
        <v>182</v>
      </c>
      <c r="L95" t="s">
        <v>261</v>
      </c>
      <c r="M95" t="s">
        <v>366</v>
      </c>
      <c r="N95" t="s">
        <v>511</v>
      </c>
    </row>
    <row r="96" spans="1:15">
      <c r="A96" t="s">
        <v>27</v>
      </c>
      <c r="C96" t="s">
        <v>102</v>
      </c>
      <c r="D96" t="s">
        <v>170</v>
      </c>
      <c r="M96" t="s">
        <v>367</v>
      </c>
      <c r="N96" t="s">
        <v>512</v>
      </c>
    </row>
    <row r="97" spans="1:14">
      <c r="A97" t="s">
        <v>27</v>
      </c>
      <c r="C97" t="s">
        <v>103</v>
      </c>
      <c r="D97" t="s">
        <v>180</v>
      </c>
      <c r="G97" t="s">
        <v>197</v>
      </c>
      <c r="H97" t="s">
        <v>216</v>
      </c>
      <c r="M97" t="s">
        <v>368</v>
      </c>
      <c r="N97" t="s">
        <v>505</v>
      </c>
    </row>
    <row r="98" spans="1:14">
      <c r="A98" t="s">
        <v>27</v>
      </c>
      <c r="C98" t="s">
        <v>66</v>
      </c>
      <c r="D98" t="s">
        <v>188</v>
      </c>
      <c r="H98" t="s">
        <v>28</v>
      </c>
      <c r="J98" t="s">
        <v>36</v>
      </c>
      <c r="M98" t="s">
        <v>369</v>
      </c>
      <c r="N98" t="s">
        <v>505</v>
      </c>
    </row>
    <row r="99" spans="1:14">
      <c r="A99" t="s">
        <v>27</v>
      </c>
      <c r="C99" t="s">
        <v>104</v>
      </c>
      <c r="D99" t="s">
        <v>188</v>
      </c>
      <c r="H99" t="s">
        <v>23</v>
      </c>
      <c r="J99" t="s">
        <v>36</v>
      </c>
      <c r="M99" t="s">
        <v>370</v>
      </c>
      <c r="N99" t="s">
        <v>505</v>
      </c>
    </row>
    <row r="100" spans="1:14">
      <c r="A100" t="s">
        <v>27</v>
      </c>
      <c r="C100" t="s">
        <v>105</v>
      </c>
      <c r="D100" t="s">
        <v>187</v>
      </c>
      <c r="M100" t="s">
        <v>371</v>
      </c>
      <c r="N100" t="s">
        <v>513</v>
      </c>
    </row>
    <row r="101" spans="1:14">
      <c r="A101" t="s">
        <v>27</v>
      </c>
      <c r="C101" t="s">
        <v>70</v>
      </c>
      <c r="D101" t="s">
        <v>189</v>
      </c>
      <c r="L101" t="s">
        <v>262</v>
      </c>
      <c r="M101" t="s">
        <v>372</v>
      </c>
      <c r="N101" t="s">
        <v>513</v>
      </c>
    </row>
    <row r="102" spans="1:14">
      <c r="A102" t="s">
        <v>27</v>
      </c>
      <c r="C102" t="s">
        <v>106</v>
      </c>
      <c r="D102" t="s">
        <v>189</v>
      </c>
      <c r="M102" t="s">
        <v>373</v>
      </c>
      <c r="N102" t="s">
        <v>514</v>
      </c>
    </row>
    <row r="103" spans="1:14">
      <c r="A103" t="s">
        <v>27</v>
      </c>
      <c r="C103" t="s">
        <v>107</v>
      </c>
      <c r="D103" t="s">
        <v>180</v>
      </c>
      <c r="G103" t="s">
        <v>197</v>
      </c>
      <c r="H103" t="s">
        <v>217</v>
      </c>
      <c r="L103" t="s">
        <v>263</v>
      </c>
      <c r="M103" t="s">
        <v>374</v>
      </c>
      <c r="N103" t="s">
        <v>498</v>
      </c>
    </row>
    <row r="104" spans="1:14">
      <c r="A104" t="s">
        <v>27</v>
      </c>
      <c r="C104" t="s">
        <v>108</v>
      </c>
      <c r="D104" t="s">
        <v>180</v>
      </c>
      <c r="G104" t="s">
        <v>197</v>
      </c>
      <c r="H104" t="s">
        <v>218</v>
      </c>
      <c r="L104" t="s">
        <v>263</v>
      </c>
      <c r="M104" t="s">
        <v>375</v>
      </c>
      <c r="N104" t="s">
        <v>513</v>
      </c>
    </row>
    <row r="105" spans="1:14">
      <c r="A105" t="s">
        <v>27</v>
      </c>
      <c r="C105" t="s">
        <v>109</v>
      </c>
      <c r="D105" t="s">
        <v>180</v>
      </c>
      <c r="G105" t="s">
        <v>197</v>
      </c>
      <c r="H105" t="s">
        <v>204</v>
      </c>
      <c r="M105" t="s">
        <v>376</v>
      </c>
      <c r="N105" t="s">
        <v>513</v>
      </c>
    </row>
    <row r="106" spans="1:14">
      <c r="A106" t="s">
        <v>27</v>
      </c>
      <c r="C106" t="s">
        <v>110</v>
      </c>
      <c r="D106" t="s">
        <v>189</v>
      </c>
      <c r="L106" t="s">
        <v>264</v>
      </c>
      <c r="M106" t="s">
        <v>377</v>
      </c>
      <c r="N106" t="s">
        <v>513</v>
      </c>
    </row>
    <row r="107" spans="1:14">
      <c r="A107" t="s">
        <v>27</v>
      </c>
      <c r="C107" t="s">
        <v>111</v>
      </c>
      <c r="D107" t="s">
        <v>189</v>
      </c>
      <c r="L107" t="s">
        <v>265</v>
      </c>
      <c r="M107" t="s">
        <v>378</v>
      </c>
      <c r="N107" t="s">
        <v>513</v>
      </c>
    </row>
    <row r="108" spans="1:14">
      <c r="A108" t="s">
        <v>27</v>
      </c>
      <c r="C108" t="s">
        <v>112</v>
      </c>
      <c r="D108" t="s">
        <v>180</v>
      </c>
      <c r="G108" t="s">
        <v>197</v>
      </c>
      <c r="H108" t="s">
        <v>219</v>
      </c>
      <c r="M108" t="s">
        <v>379</v>
      </c>
      <c r="N108" t="s">
        <v>505</v>
      </c>
    </row>
    <row r="109" spans="1:14">
      <c r="A109" t="s">
        <v>27</v>
      </c>
      <c r="C109" t="s">
        <v>113</v>
      </c>
      <c r="D109" t="s">
        <v>182</v>
      </c>
      <c r="M109" t="s">
        <v>380</v>
      </c>
      <c r="N109" t="s">
        <v>505</v>
      </c>
    </row>
    <row r="110" spans="1:14">
      <c r="A110" t="s">
        <v>27</v>
      </c>
      <c r="C110" t="s">
        <v>114</v>
      </c>
      <c r="D110" t="s">
        <v>180</v>
      </c>
      <c r="G110" t="s">
        <v>197</v>
      </c>
      <c r="H110" t="s">
        <v>219</v>
      </c>
      <c r="M110" t="s">
        <v>381</v>
      </c>
      <c r="N110" t="s">
        <v>505</v>
      </c>
    </row>
    <row r="111" spans="1:14">
      <c r="A111" t="s">
        <v>27</v>
      </c>
      <c r="C111" t="s">
        <v>115</v>
      </c>
      <c r="D111" t="s">
        <v>182</v>
      </c>
      <c r="M111" t="s">
        <v>382</v>
      </c>
      <c r="N111" t="s">
        <v>505</v>
      </c>
    </row>
    <row r="112" spans="1:14">
      <c r="A112" t="s">
        <v>27</v>
      </c>
      <c r="C112" t="s">
        <v>116</v>
      </c>
      <c r="D112" t="s">
        <v>187</v>
      </c>
      <c r="M112" t="s">
        <v>383</v>
      </c>
      <c r="N112" t="s">
        <v>513</v>
      </c>
    </row>
    <row r="113" spans="1:19">
      <c r="A113" t="s">
        <v>27</v>
      </c>
      <c r="C113" t="s">
        <v>117</v>
      </c>
      <c r="D113" t="s">
        <v>188</v>
      </c>
      <c r="H113" t="s">
        <v>33</v>
      </c>
      <c r="J113" t="s">
        <v>36</v>
      </c>
      <c r="M113" t="s">
        <v>384</v>
      </c>
      <c r="N113" t="s">
        <v>515</v>
      </c>
    </row>
    <row r="114" spans="1:19">
      <c r="A114" t="s">
        <v>27</v>
      </c>
      <c r="C114" t="s">
        <v>118</v>
      </c>
      <c r="D114" t="s">
        <v>176</v>
      </c>
      <c r="F114" t="s">
        <v>195</v>
      </c>
      <c r="H114" t="s">
        <v>33</v>
      </c>
      <c r="L114" t="s">
        <v>266</v>
      </c>
      <c r="M114" t="s">
        <v>385</v>
      </c>
      <c r="N114" t="s">
        <v>515</v>
      </c>
    </row>
    <row r="115" spans="1:19">
      <c r="A115" t="s">
        <v>27</v>
      </c>
      <c r="C115" t="s">
        <v>119</v>
      </c>
      <c r="D115" t="s">
        <v>183</v>
      </c>
      <c r="F115" t="s">
        <v>196</v>
      </c>
      <c r="H115" t="s">
        <v>33</v>
      </c>
      <c r="L115" t="s">
        <v>267</v>
      </c>
      <c r="M115" t="s">
        <v>386</v>
      </c>
      <c r="N115" t="s">
        <v>513</v>
      </c>
    </row>
    <row r="116" spans="1:19">
      <c r="A116" t="s">
        <v>27</v>
      </c>
      <c r="C116" t="s">
        <v>120</v>
      </c>
      <c r="D116" t="s">
        <v>188</v>
      </c>
      <c r="H116" t="s">
        <v>21</v>
      </c>
      <c r="J116" t="s">
        <v>36</v>
      </c>
      <c r="M116" t="s">
        <v>387</v>
      </c>
      <c r="N116" t="s">
        <v>515</v>
      </c>
    </row>
    <row r="117" spans="1:19">
      <c r="A117" t="s">
        <v>27</v>
      </c>
      <c r="C117" t="s">
        <v>121</v>
      </c>
      <c r="D117" t="s">
        <v>176</v>
      </c>
      <c r="F117" t="s">
        <v>195</v>
      </c>
      <c r="H117" t="s">
        <v>21</v>
      </c>
      <c r="L117" t="s">
        <v>268</v>
      </c>
      <c r="M117" t="s">
        <v>388</v>
      </c>
      <c r="N117" t="s">
        <v>515</v>
      </c>
    </row>
    <row r="118" spans="1:19">
      <c r="A118" t="s">
        <v>27</v>
      </c>
      <c r="C118" t="s">
        <v>122</v>
      </c>
      <c r="D118" t="s">
        <v>187</v>
      </c>
      <c r="M118" t="s">
        <v>389</v>
      </c>
      <c r="N118" t="s">
        <v>513</v>
      </c>
    </row>
    <row r="119" spans="1:19">
      <c r="A119" t="s">
        <v>27</v>
      </c>
      <c r="C119" t="s">
        <v>123</v>
      </c>
      <c r="D119" t="s">
        <v>182</v>
      </c>
      <c r="M119" t="s">
        <v>390</v>
      </c>
      <c r="N119" t="s">
        <v>516</v>
      </c>
    </row>
    <row r="120" spans="1:19">
      <c r="A120" t="s">
        <v>27</v>
      </c>
      <c r="C120" t="s">
        <v>124</v>
      </c>
      <c r="D120" t="s">
        <v>187</v>
      </c>
      <c r="M120" t="s">
        <v>391</v>
      </c>
      <c r="N120" t="s">
        <v>513</v>
      </c>
    </row>
    <row r="121" spans="1:19">
      <c r="A121" t="s">
        <v>27</v>
      </c>
      <c r="C121" t="s">
        <v>125</v>
      </c>
      <c r="D121" t="s">
        <v>181</v>
      </c>
      <c r="G121" t="s">
        <v>197</v>
      </c>
      <c r="H121" t="s">
        <v>220</v>
      </c>
      <c r="M121" t="s">
        <v>392</v>
      </c>
      <c r="N121" t="s">
        <v>505</v>
      </c>
    </row>
    <row r="122" spans="1:19">
      <c r="A122" t="s">
        <v>27</v>
      </c>
      <c r="C122" t="s">
        <v>80</v>
      </c>
      <c r="D122" t="s">
        <v>181</v>
      </c>
      <c r="F122" t="s">
        <v>196</v>
      </c>
      <c r="G122" t="s">
        <v>197</v>
      </c>
      <c r="H122" t="s">
        <v>210</v>
      </c>
      <c r="L122" t="s">
        <v>255</v>
      </c>
      <c r="M122" t="s">
        <v>393</v>
      </c>
      <c r="N122" t="s">
        <v>511</v>
      </c>
      <c r="S122">
        <f> {name: 'Non public'</f>
        <v>0</v>
      </c>
    </row>
    <row r="123" spans="1:19">
      <c r="A123" t="s">
        <v>27</v>
      </c>
      <c r="C123" t="s">
        <v>126</v>
      </c>
      <c r="D123" t="s">
        <v>180</v>
      </c>
      <c r="G123" t="s">
        <v>197</v>
      </c>
      <c r="H123" t="s">
        <v>221</v>
      </c>
      <c r="M123" t="s">
        <v>394</v>
      </c>
      <c r="N123" t="s">
        <v>505</v>
      </c>
    </row>
    <row r="124" spans="1:19">
      <c r="A124" t="s">
        <v>27</v>
      </c>
      <c r="C124" t="s">
        <v>127</v>
      </c>
      <c r="D124" t="s">
        <v>180</v>
      </c>
      <c r="G124" t="s">
        <v>197</v>
      </c>
      <c r="H124" t="s">
        <v>222</v>
      </c>
      <c r="M124" t="s">
        <v>395</v>
      </c>
      <c r="N124" t="s">
        <v>505</v>
      </c>
    </row>
    <row r="125" spans="1:19">
      <c r="A125" t="s">
        <v>27</v>
      </c>
      <c r="C125" t="s">
        <v>128</v>
      </c>
      <c r="D125" t="s">
        <v>182</v>
      </c>
      <c r="M125" t="s">
        <v>396</v>
      </c>
      <c r="N125" t="s">
        <v>505</v>
      </c>
    </row>
    <row r="126" spans="1:19">
      <c r="A126" t="s">
        <v>27</v>
      </c>
      <c r="C126" t="s">
        <v>129</v>
      </c>
      <c r="D126" t="s">
        <v>178</v>
      </c>
      <c r="M126" t="s">
        <v>397</v>
      </c>
      <c r="N126" t="s">
        <v>505</v>
      </c>
    </row>
    <row r="127" spans="1:19">
      <c r="A127" t="s">
        <v>27</v>
      </c>
      <c r="C127" t="s">
        <v>130</v>
      </c>
      <c r="D127" t="s">
        <v>181</v>
      </c>
      <c r="G127" t="s">
        <v>197</v>
      </c>
      <c r="H127" t="s">
        <v>223</v>
      </c>
      <c r="L127" t="s">
        <v>269</v>
      </c>
      <c r="M127" t="s">
        <v>398</v>
      </c>
      <c r="N127" t="s">
        <v>512</v>
      </c>
    </row>
    <row r="128" spans="1:19">
      <c r="A128" t="s">
        <v>27</v>
      </c>
      <c r="C128" t="s">
        <v>131</v>
      </c>
      <c r="D128" t="s">
        <v>182</v>
      </c>
      <c r="M128" t="s">
        <v>399</v>
      </c>
      <c r="N128" t="s">
        <v>512</v>
      </c>
    </row>
    <row r="129" spans="1:19">
      <c r="A129" t="s">
        <v>27</v>
      </c>
      <c r="C129" t="s">
        <v>132</v>
      </c>
      <c r="D129" t="s">
        <v>187</v>
      </c>
      <c r="M129" t="s">
        <v>400</v>
      </c>
      <c r="N129" t="s">
        <v>498</v>
      </c>
    </row>
    <row r="130" spans="1:19">
      <c r="A130" t="s">
        <v>27</v>
      </c>
      <c r="C130" t="s">
        <v>133</v>
      </c>
      <c r="D130" t="s">
        <v>188</v>
      </c>
      <c r="H130" t="s">
        <v>20</v>
      </c>
      <c r="J130" t="s">
        <v>36</v>
      </c>
      <c r="M130" t="s">
        <v>401</v>
      </c>
      <c r="N130" t="s">
        <v>498</v>
      </c>
    </row>
    <row r="131" spans="1:19">
      <c r="A131" t="s">
        <v>27</v>
      </c>
      <c r="C131" t="s">
        <v>134</v>
      </c>
      <c r="D131" t="s">
        <v>182</v>
      </c>
      <c r="M131" t="s">
        <v>402</v>
      </c>
      <c r="N131" t="s">
        <v>517</v>
      </c>
    </row>
    <row r="132" spans="1:19">
      <c r="A132" t="s">
        <v>27</v>
      </c>
      <c r="C132" t="s">
        <v>135</v>
      </c>
      <c r="D132" t="s">
        <v>182</v>
      </c>
      <c r="M132" t="s">
        <v>403</v>
      </c>
      <c r="N132" t="s">
        <v>518</v>
      </c>
    </row>
    <row r="133" spans="1:19">
      <c r="A133" t="s">
        <v>27</v>
      </c>
      <c r="C133" t="s">
        <v>136</v>
      </c>
      <c r="D133" t="s">
        <v>182</v>
      </c>
      <c r="L133" t="s">
        <v>261</v>
      </c>
      <c r="M133" t="s">
        <v>404</v>
      </c>
      <c r="N133" t="s">
        <v>519</v>
      </c>
    </row>
    <row r="134" spans="1:19">
      <c r="A134" t="s">
        <v>27</v>
      </c>
      <c r="C134" t="s">
        <v>137</v>
      </c>
      <c r="D134" t="s">
        <v>188</v>
      </c>
      <c r="H134" t="s">
        <v>34</v>
      </c>
      <c r="J134" t="s">
        <v>36</v>
      </c>
      <c r="M134" t="s">
        <v>405</v>
      </c>
      <c r="N134" t="s">
        <v>498</v>
      </c>
    </row>
    <row r="135" spans="1:19">
      <c r="A135" t="s">
        <v>27</v>
      </c>
      <c r="C135" t="s">
        <v>79</v>
      </c>
      <c r="D135" t="s">
        <v>180</v>
      </c>
      <c r="F135" t="s">
        <v>196</v>
      </c>
      <c r="G135" t="s">
        <v>197</v>
      </c>
      <c r="H135" t="s">
        <v>209</v>
      </c>
      <c r="L135" t="s">
        <v>254</v>
      </c>
      <c r="M135" t="s">
        <v>406</v>
      </c>
      <c r="N135" t="s">
        <v>520</v>
      </c>
      <c r="S135">
        <f> [{name: 'Health'}]</f>
        <v>0</v>
      </c>
    </row>
    <row r="136" spans="1:19">
      <c r="A136" t="s">
        <v>27</v>
      </c>
      <c r="C136" t="s">
        <v>81</v>
      </c>
      <c r="D136" t="s">
        <v>180</v>
      </c>
      <c r="F136" t="s">
        <v>195</v>
      </c>
      <c r="G136" t="s">
        <v>197</v>
      </c>
      <c r="H136" t="s">
        <v>211</v>
      </c>
      <c r="L136" t="s">
        <v>256</v>
      </c>
      <c r="M136" t="s">
        <v>407</v>
      </c>
      <c r="N136" t="s">
        <v>498</v>
      </c>
      <c r="S136">
        <f> [{name: 'Data Governance Act'}]</f>
        <v>0</v>
      </c>
    </row>
    <row r="137" spans="1:19">
      <c r="A137" t="s">
        <v>28</v>
      </c>
      <c r="M137" t="s">
        <v>408</v>
      </c>
      <c r="N137" t="s">
        <v>505</v>
      </c>
    </row>
    <row r="138" spans="1:19">
      <c r="A138" t="s">
        <v>28</v>
      </c>
      <c r="C138" t="s">
        <v>36</v>
      </c>
      <c r="D138" t="s">
        <v>176</v>
      </c>
      <c r="E138" t="s">
        <v>190</v>
      </c>
      <c r="F138" t="s">
        <v>193</v>
      </c>
      <c r="H138" t="s">
        <v>27</v>
      </c>
      <c r="L138" t="s">
        <v>246</v>
      </c>
      <c r="M138" t="s">
        <v>409</v>
      </c>
      <c r="N138" t="s">
        <v>505</v>
      </c>
    </row>
    <row r="139" spans="1:19">
      <c r="A139" t="s">
        <v>28</v>
      </c>
      <c r="C139" t="s">
        <v>60</v>
      </c>
      <c r="E139" t="s">
        <v>190</v>
      </c>
      <c r="F139" t="s">
        <v>193</v>
      </c>
      <c r="L139" t="s">
        <v>247</v>
      </c>
      <c r="M139" t="s">
        <v>410</v>
      </c>
      <c r="N139" t="s">
        <v>505</v>
      </c>
    </row>
    <row r="140" spans="1:19">
      <c r="A140" t="s">
        <v>28</v>
      </c>
      <c r="C140" t="s">
        <v>65</v>
      </c>
      <c r="L140" t="s">
        <v>243</v>
      </c>
      <c r="M140" t="s">
        <v>411</v>
      </c>
      <c r="N140" t="s">
        <v>505</v>
      </c>
    </row>
    <row r="141" spans="1:19">
      <c r="A141" t="s">
        <v>28</v>
      </c>
      <c r="C141" t="s">
        <v>12</v>
      </c>
      <c r="D141" t="s">
        <v>182</v>
      </c>
      <c r="L141" t="s">
        <v>248</v>
      </c>
      <c r="M141" t="s">
        <v>412</v>
      </c>
      <c r="N141" t="s">
        <v>505</v>
      </c>
    </row>
    <row r="142" spans="1:19">
      <c r="A142" t="s">
        <v>28</v>
      </c>
      <c r="C142" t="s">
        <v>63</v>
      </c>
      <c r="D142" t="s">
        <v>184</v>
      </c>
      <c r="L142" t="s">
        <v>249</v>
      </c>
      <c r="M142" t="s">
        <v>413</v>
      </c>
      <c r="N142" t="s">
        <v>505</v>
      </c>
    </row>
    <row r="143" spans="1:19">
      <c r="A143" t="s">
        <v>28</v>
      </c>
      <c r="C143" t="s">
        <v>70</v>
      </c>
      <c r="D143" t="s">
        <v>189</v>
      </c>
      <c r="L143" t="s">
        <v>262</v>
      </c>
      <c r="M143" t="s">
        <v>414</v>
      </c>
      <c r="N143" t="s">
        <v>505</v>
      </c>
    </row>
    <row r="144" spans="1:19">
      <c r="A144" t="s">
        <v>28</v>
      </c>
      <c r="C144" t="s">
        <v>138</v>
      </c>
      <c r="D144" t="s">
        <v>188</v>
      </c>
      <c r="H144" t="s">
        <v>35</v>
      </c>
      <c r="J144" t="s">
        <v>171</v>
      </c>
      <c r="M144" t="s">
        <v>415</v>
      </c>
      <c r="N144" t="s">
        <v>512</v>
      </c>
    </row>
    <row r="145" spans="1:19">
      <c r="A145" t="s">
        <v>28</v>
      </c>
      <c r="C145" t="s">
        <v>139</v>
      </c>
      <c r="D145" t="s">
        <v>177</v>
      </c>
      <c r="L145" t="s">
        <v>250</v>
      </c>
      <c r="M145" t="s">
        <v>416</v>
      </c>
      <c r="N145" t="s">
        <v>505</v>
      </c>
    </row>
    <row r="146" spans="1:19">
      <c r="A146" t="s">
        <v>28</v>
      </c>
      <c r="C146" t="s">
        <v>140</v>
      </c>
      <c r="D146" t="s">
        <v>177</v>
      </c>
      <c r="L146" t="s">
        <v>251</v>
      </c>
      <c r="M146" t="s">
        <v>417</v>
      </c>
      <c r="N146" t="s">
        <v>505</v>
      </c>
    </row>
    <row r="147" spans="1:19">
      <c r="A147" t="s">
        <v>28</v>
      </c>
      <c r="C147" t="s">
        <v>69</v>
      </c>
      <c r="D147" t="s">
        <v>180</v>
      </c>
      <c r="G147" t="s">
        <v>197</v>
      </c>
      <c r="H147" t="s">
        <v>204</v>
      </c>
      <c r="M147" t="s">
        <v>418</v>
      </c>
      <c r="N147" t="s">
        <v>505</v>
      </c>
    </row>
    <row r="148" spans="1:19">
      <c r="A148" t="s">
        <v>28</v>
      </c>
      <c r="C148" t="s">
        <v>110</v>
      </c>
      <c r="D148" t="s">
        <v>189</v>
      </c>
      <c r="L148" t="s">
        <v>264</v>
      </c>
      <c r="M148" t="s">
        <v>419</v>
      </c>
      <c r="N148" t="s">
        <v>505</v>
      </c>
    </row>
    <row r="149" spans="1:19">
      <c r="A149" t="s">
        <v>28</v>
      </c>
      <c r="C149" t="s">
        <v>111</v>
      </c>
      <c r="D149" t="s">
        <v>189</v>
      </c>
      <c r="L149" t="s">
        <v>265</v>
      </c>
      <c r="M149" t="s">
        <v>420</v>
      </c>
      <c r="N149" t="s">
        <v>505</v>
      </c>
    </row>
    <row r="150" spans="1:19">
      <c r="A150" t="s">
        <v>28</v>
      </c>
      <c r="C150" t="s">
        <v>141</v>
      </c>
      <c r="D150" t="s">
        <v>180</v>
      </c>
      <c r="G150" t="s">
        <v>197</v>
      </c>
      <c r="H150" t="s">
        <v>224</v>
      </c>
      <c r="M150" t="s">
        <v>421</v>
      </c>
      <c r="N150" t="s">
        <v>505</v>
      </c>
    </row>
    <row r="151" spans="1:19">
      <c r="A151" t="s">
        <v>28</v>
      </c>
      <c r="C151" t="s">
        <v>142</v>
      </c>
      <c r="D151" t="s">
        <v>180</v>
      </c>
      <c r="G151" t="s">
        <v>197</v>
      </c>
      <c r="H151" t="s">
        <v>224</v>
      </c>
      <c r="M151" t="s">
        <v>422</v>
      </c>
      <c r="N151" t="s">
        <v>505</v>
      </c>
    </row>
    <row r="152" spans="1:19">
      <c r="A152" t="s">
        <v>28</v>
      </c>
      <c r="C152" t="s">
        <v>107</v>
      </c>
      <c r="D152" t="s">
        <v>180</v>
      </c>
      <c r="G152" t="s">
        <v>197</v>
      </c>
      <c r="H152" t="s">
        <v>217</v>
      </c>
      <c r="L152" t="s">
        <v>263</v>
      </c>
      <c r="M152" t="s">
        <v>423</v>
      </c>
      <c r="N152" t="s">
        <v>505</v>
      </c>
    </row>
    <row r="153" spans="1:19">
      <c r="A153" t="s">
        <v>28</v>
      </c>
      <c r="C153" t="s">
        <v>108</v>
      </c>
      <c r="D153" t="s">
        <v>180</v>
      </c>
      <c r="G153" t="s">
        <v>197</v>
      </c>
      <c r="H153" t="s">
        <v>218</v>
      </c>
      <c r="L153" t="s">
        <v>270</v>
      </c>
      <c r="M153" t="s">
        <v>424</v>
      </c>
      <c r="N153" t="s">
        <v>505</v>
      </c>
    </row>
    <row r="154" spans="1:19">
      <c r="A154" t="s">
        <v>28</v>
      </c>
      <c r="C154" t="s">
        <v>112</v>
      </c>
      <c r="D154" t="s">
        <v>180</v>
      </c>
      <c r="G154" t="s">
        <v>197</v>
      </c>
      <c r="H154" t="s">
        <v>219</v>
      </c>
      <c r="M154" t="s">
        <v>425</v>
      </c>
      <c r="N154" t="s">
        <v>505</v>
      </c>
    </row>
    <row r="155" spans="1:19">
      <c r="A155" t="s">
        <v>28</v>
      </c>
      <c r="C155" t="s">
        <v>113</v>
      </c>
      <c r="D155" t="s">
        <v>182</v>
      </c>
      <c r="M155" t="s">
        <v>426</v>
      </c>
      <c r="N155" t="s">
        <v>505</v>
      </c>
    </row>
    <row r="156" spans="1:19">
      <c r="A156" t="s">
        <v>28</v>
      </c>
      <c r="C156" t="s">
        <v>114</v>
      </c>
      <c r="D156" t="s">
        <v>180</v>
      </c>
      <c r="G156" t="s">
        <v>197</v>
      </c>
      <c r="H156" t="s">
        <v>219</v>
      </c>
      <c r="M156" t="s">
        <v>427</v>
      </c>
      <c r="N156" t="s">
        <v>505</v>
      </c>
    </row>
    <row r="157" spans="1:19">
      <c r="A157" t="s">
        <v>28</v>
      </c>
      <c r="C157" t="s">
        <v>115</v>
      </c>
      <c r="D157" t="s">
        <v>182</v>
      </c>
      <c r="M157" t="s">
        <v>428</v>
      </c>
      <c r="N157" t="s">
        <v>505</v>
      </c>
    </row>
    <row r="158" spans="1:19">
      <c r="A158" t="s">
        <v>28</v>
      </c>
      <c r="C158" t="s">
        <v>77</v>
      </c>
      <c r="D158" t="s">
        <v>186</v>
      </c>
      <c r="L158" t="s">
        <v>252</v>
      </c>
      <c r="M158" t="s">
        <v>429</v>
      </c>
      <c r="N158" t="s">
        <v>505</v>
      </c>
    </row>
    <row r="159" spans="1:19">
      <c r="A159" t="s">
        <v>28</v>
      </c>
      <c r="C159" t="s">
        <v>78</v>
      </c>
      <c r="D159" t="s">
        <v>186</v>
      </c>
      <c r="L159" t="s">
        <v>253</v>
      </c>
      <c r="M159" t="s">
        <v>430</v>
      </c>
      <c r="N159" t="s">
        <v>505</v>
      </c>
    </row>
    <row r="160" spans="1:19">
      <c r="A160" t="s">
        <v>28</v>
      </c>
      <c r="C160" t="s">
        <v>79</v>
      </c>
      <c r="D160" t="s">
        <v>180</v>
      </c>
      <c r="G160" t="s">
        <v>197</v>
      </c>
      <c r="H160" t="s">
        <v>209</v>
      </c>
      <c r="L160" t="s">
        <v>254</v>
      </c>
      <c r="M160" t="s">
        <v>431</v>
      </c>
      <c r="N160" t="s">
        <v>505</v>
      </c>
      <c r="S160">
        <f> [{name: 'Health'}]</f>
        <v>0</v>
      </c>
    </row>
    <row r="161" spans="1:19">
      <c r="A161" t="s">
        <v>28</v>
      </c>
      <c r="C161" t="s">
        <v>80</v>
      </c>
      <c r="D161" t="s">
        <v>181</v>
      </c>
      <c r="G161" t="s">
        <v>197</v>
      </c>
      <c r="H161" t="s">
        <v>210</v>
      </c>
      <c r="L161" t="s">
        <v>255</v>
      </c>
      <c r="M161" t="s">
        <v>337</v>
      </c>
      <c r="N161" t="s">
        <v>505</v>
      </c>
      <c r="S161">
        <f> {name: 'Non public'</f>
        <v>0</v>
      </c>
    </row>
    <row r="162" spans="1:19">
      <c r="A162" t="s">
        <v>28</v>
      </c>
      <c r="C162" t="s">
        <v>81</v>
      </c>
      <c r="D162" t="s">
        <v>180</v>
      </c>
      <c r="G162" t="s">
        <v>197</v>
      </c>
      <c r="H162" t="s">
        <v>211</v>
      </c>
      <c r="L162" t="s">
        <v>256</v>
      </c>
      <c r="M162" t="s">
        <v>432</v>
      </c>
      <c r="N162" t="s">
        <v>505</v>
      </c>
      <c r="S162">
        <f> [{name: 'Data Governance Act'}]</f>
        <v>0</v>
      </c>
    </row>
    <row r="163" spans="1:19">
      <c r="A163" t="s">
        <v>29</v>
      </c>
      <c r="M163" t="s">
        <v>433</v>
      </c>
      <c r="N163" t="s">
        <v>521</v>
      </c>
    </row>
    <row r="164" spans="1:19">
      <c r="A164" t="s">
        <v>29</v>
      </c>
      <c r="C164" t="s">
        <v>143</v>
      </c>
      <c r="D164" t="s">
        <v>176</v>
      </c>
      <c r="E164" t="s">
        <v>190</v>
      </c>
      <c r="F164" t="s">
        <v>193</v>
      </c>
      <c r="H164" t="s">
        <v>27</v>
      </c>
      <c r="M164" t="s">
        <v>434</v>
      </c>
      <c r="N164" t="s">
        <v>521</v>
      </c>
    </row>
    <row r="165" spans="1:19">
      <c r="A165" t="s">
        <v>29</v>
      </c>
      <c r="C165" t="s">
        <v>144</v>
      </c>
      <c r="D165" t="s">
        <v>176</v>
      </c>
      <c r="E165" t="s">
        <v>190</v>
      </c>
      <c r="F165" t="s">
        <v>193</v>
      </c>
      <c r="H165" t="s">
        <v>22</v>
      </c>
      <c r="I165" t="s">
        <v>143</v>
      </c>
      <c r="M165" t="s">
        <v>435</v>
      </c>
      <c r="N165" t="s">
        <v>521</v>
      </c>
    </row>
    <row r="166" spans="1:19">
      <c r="A166" t="s">
        <v>29</v>
      </c>
      <c r="C166" t="s">
        <v>145</v>
      </c>
      <c r="D166" t="s">
        <v>183</v>
      </c>
      <c r="H166" t="s">
        <v>31</v>
      </c>
      <c r="I166" t="s">
        <v>144</v>
      </c>
      <c r="M166" t="s">
        <v>436</v>
      </c>
      <c r="N166" t="s">
        <v>521</v>
      </c>
    </row>
    <row r="167" spans="1:19">
      <c r="A167" t="s">
        <v>29</v>
      </c>
      <c r="C167" t="s">
        <v>146</v>
      </c>
      <c r="D167" t="s">
        <v>183</v>
      </c>
      <c r="H167" t="s">
        <v>31</v>
      </c>
      <c r="I167" t="s">
        <v>143</v>
      </c>
      <c r="M167" t="s">
        <v>437</v>
      </c>
      <c r="N167" t="s">
        <v>521</v>
      </c>
    </row>
    <row r="168" spans="1:19">
      <c r="A168" t="s">
        <v>29</v>
      </c>
      <c r="C168" t="s">
        <v>147</v>
      </c>
      <c r="D168" t="s">
        <v>176</v>
      </c>
      <c r="E168" t="s">
        <v>190</v>
      </c>
      <c r="F168" t="s">
        <v>193</v>
      </c>
      <c r="G168" t="s">
        <v>198</v>
      </c>
      <c r="H168" t="s">
        <v>27</v>
      </c>
      <c r="M168" t="s">
        <v>438</v>
      </c>
      <c r="N168" t="s">
        <v>82</v>
      </c>
    </row>
    <row r="169" spans="1:19">
      <c r="A169" t="s">
        <v>29</v>
      </c>
      <c r="C169" t="s">
        <v>148</v>
      </c>
      <c r="D169" t="s">
        <v>176</v>
      </c>
      <c r="E169" t="s">
        <v>190</v>
      </c>
      <c r="F169" t="s">
        <v>193</v>
      </c>
      <c r="G169" t="s">
        <v>198</v>
      </c>
      <c r="H169" t="s">
        <v>22</v>
      </c>
      <c r="I169" t="s">
        <v>147</v>
      </c>
      <c r="M169" t="s">
        <v>439</v>
      </c>
      <c r="N169" t="s">
        <v>82</v>
      </c>
    </row>
    <row r="170" spans="1:19">
      <c r="A170" t="s">
        <v>29</v>
      </c>
      <c r="C170" t="s">
        <v>149</v>
      </c>
      <c r="D170" t="s">
        <v>176</v>
      </c>
      <c r="E170" t="s">
        <v>190</v>
      </c>
      <c r="F170" t="s">
        <v>193</v>
      </c>
      <c r="G170" t="s">
        <v>198</v>
      </c>
      <c r="H170" t="s">
        <v>31</v>
      </c>
      <c r="I170" t="s">
        <v>148</v>
      </c>
      <c r="M170" t="s">
        <v>440</v>
      </c>
      <c r="N170" t="s">
        <v>82</v>
      </c>
    </row>
    <row r="171" spans="1:19">
      <c r="A171" t="s">
        <v>29</v>
      </c>
      <c r="C171" t="s">
        <v>150</v>
      </c>
      <c r="D171" t="s">
        <v>182</v>
      </c>
      <c r="E171" t="s">
        <v>190</v>
      </c>
      <c r="F171" t="s">
        <v>193</v>
      </c>
      <c r="K171" t="s">
        <v>234</v>
      </c>
      <c r="M171" t="s">
        <v>441</v>
      </c>
      <c r="N171" t="s">
        <v>521</v>
      </c>
      <c r="S171" t="s">
        <v>527</v>
      </c>
    </row>
    <row r="172" spans="1:19">
      <c r="A172" t="s">
        <v>29</v>
      </c>
      <c r="C172" t="s">
        <v>151</v>
      </c>
      <c r="D172" t="s">
        <v>181</v>
      </c>
      <c r="F172" t="s">
        <v>193</v>
      </c>
      <c r="G172" t="s">
        <v>197</v>
      </c>
      <c r="H172" t="s">
        <v>225</v>
      </c>
      <c r="M172" t="s">
        <v>442</v>
      </c>
      <c r="N172" t="s">
        <v>521</v>
      </c>
    </row>
    <row r="173" spans="1:19">
      <c r="A173" t="s">
        <v>29</v>
      </c>
      <c r="C173" t="s">
        <v>12</v>
      </c>
      <c r="D173" t="s">
        <v>182</v>
      </c>
      <c r="M173" t="s">
        <v>443</v>
      </c>
      <c r="N173" t="s">
        <v>521</v>
      </c>
    </row>
    <row r="174" spans="1:19">
      <c r="A174" t="s">
        <v>29</v>
      </c>
      <c r="C174" t="s">
        <v>152</v>
      </c>
      <c r="D174" t="s">
        <v>182</v>
      </c>
      <c r="M174" t="s">
        <v>444</v>
      </c>
      <c r="N174" t="s">
        <v>521</v>
      </c>
    </row>
    <row r="175" spans="1:19">
      <c r="A175" t="s">
        <v>29</v>
      </c>
      <c r="C175" t="s">
        <v>153</v>
      </c>
      <c r="D175" t="s">
        <v>182</v>
      </c>
      <c r="M175" t="s">
        <v>445</v>
      </c>
      <c r="N175" t="s">
        <v>521</v>
      </c>
    </row>
    <row r="176" spans="1:19">
      <c r="A176" t="s">
        <v>30</v>
      </c>
      <c r="L176" t="s">
        <v>271</v>
      </c>
      <c r="M176" t="s">
        <v>446</v>
      </c>
      <c r="N176" t="s">
        <v>498</v>
      </c>
    </row>
    <row r="177" spans="1:19">
      <c r="A177" t="s">
        <v>30</v>
      </c>
      <c r="C177" t="s">
        <v>36</v>
      </c>
      <c r="D177" t="s">
        <v>176</v>
      </c>
      <c r="E177" t="s">
        <v>190</v>
      </c>
      <c r="F177" t="s">
        <v>193</v>
      </c>
      <c r="H177" t="s">
        <v>27</v>
      </c>
      <c r="M177" t="s">
        <v>447</v>
      </c>
      <c r="N177" t="s">
        <v>498</v>
      </c>
    </row>
    <row r="178" spans="1:19">
      <c r="A178" t="s">
        <v>30</v>
      </c>
      <c r="C178" t="s">
        <v>88</v>
      </c>
      <c r="E178" t="s">
        <v>190</v>
      </c>
      <c r="F178" t="s">
        <v>193</v>
      </c>
      <c r="M178" t="s">
        <v>448</v>
      </c>
      <c r="N178" t="s">
        <v>498</v>
      </c>
    </row>
    <row r="179" spans="1:19">
      <c r="A179" t="s">
        <v>30</v>
      </c>
      <c r="C179" t="s">
        <v>90</v>
      </c>
      <c r="D179" t="s">
        <v>181</v>
      </c>
      <c r="F179" t="s">
        <v>193</v>
      </c>
      <c r="G179" t="s">
        <v>197</v>
      </c>
      <c r="H179" t="s">
        <v>226</v>
      </c>
      <c r="M179" t="s">
        <v>449</v>
      </c>
      <c r="N179" t="s">
        <v>498</v>
      </c>
      <c r="S179">
        <f>mg_tableclass.includes('Organisations')? {name: 'Organisation'} : undefined</f>
        <v>0</v>
      </c>
    </row>
    <row r="180" spans="1:19">
      <c r="A180" t="s">
        <v>30</v>
      </c>
      <c r="C180" t="s">
        <v>60</v>
      </c>
      <c r="M180" t="s">
        <v>450</v>
      </c>
      <c r="N180" t="s">
        <v>498</v>
      </c>
      <c r="O180" t="s">
        <v>525</v>
      </c>
    </row>
    <row r="181" spans="1:19">
      <c r="A181" t="s">
        <v>30</v>
      </c>
      <c r="C181" t="s">
        <v>54</v>
      </c>
      <c r="D181" t="s">
        <v>176</v>
      </c>
      <c r="G181" t="s">
        <v>197</v>
      </c>
      <c r="H181" t="s">
        <v>33</v>
      </c>
      <c r="M181" t="s">
        <v>451</v>
      </c>
      <c r="N181" t="s">
        <v>499</v>
      </c>
      <c r="O181" t="s">
        <v>526</v>
      </c>
    </row>
    <row r="182" spans="1:19">
      <c r="A182" t="s">
        <v>30</v>
      </c>
      <c r="C182" t="s">
        <v>154</v>
      </c>
      <c r="D182" t="s">
        <v>182</v>
      </c>
      <c r="M182" t="s">
        <v>452</v>
      </c>
      <c r="N182" t="s">
        <v>499</v>
      </c>
      <c r="O182" t="s">
        <v>526</v>
      </c>
    </row>
    <row r="183" spans="1:19">
      <c r="A183" t="s">
        <v>30</v>
      </c>
      <c r="C183" t="s">
        <v>155</v>
      </c>
      <c r="M183" t="s">
        <v>453</v>
      </c>
      <c r="N183" t="s">
        <v>497</v>
      </c>
      <c r="O183" t="s">
        <v>526</v>
      </c>
    </row>
    <row r="184" spans="1:19">
      <c r="A184" t="s">
        <v>30</v>
      </c>
      <c r="C184" t="s">
        <v>92</v>
      </c>
      <c r="D184" t="s">
        <v>179</v>
      </c>
      <c r="L184" t="s">
        <v>272</v>
      </c>
      <c r="M184" t="s">
        <v>454</v>
      </c>
      <c r="N184" t="s">
        <v>498</v>
      </c>
      <c r="O184" t="s">
        <v>525</v>
      </c>
    </row>
    <row r="185" spans="1:19">
      <c r="A185" t="s">
        <v>30</v>
      </c>
      <c r="C185" t="s">
        <v>55</v>
      </c>
      <c r="D185" t="s">
        <v>55</v>
      </c>
      <c r="F185" t="s">
        <v>194</v>
      </c>
      <c r="L185" t="s">
        <v>273</v>
      </c>
      <c r="M185" t="s">
        <v>455</v>
      </c>
      <c r="N185" t="s">
        <v>498</v>
      </c>
    </row>
    <row r="186" spans="1:19">
      <c r="A186" t="s">
        <v>30</v>
      </c>
      <c r="C186" t="s">
        <v>98</v>
      </c>
      <c r="D186" t="s">
        <v>170</v>
      </c>
      <c r="L186" t="s">
        <v>274</v>
      </c>
      <c r="M186" t="s">
        <v>456</v>
      </c>
      <c r="N186" t="s">
        <v>522</v>
      </c>
      <c r="O186" t="s">
        <v>526</v>
      </c>
    </row>
    <row r="187" spans="1:19">
      <c r="A187" t="s">
        <v>30</v>
      </c>
      <c r="C187" t="s">
        <v>48</v>
      </c>
      <c r="D187" t="s">
        <v>180</v>
      </c>
      <c r="G187" t="s">
        <v>197</v>
      </c>
      <c r="H187" t="s">
        <v>227</v>
      </c>
      <c r="M187" t="s">
        <v>293</v>
      </c>
      <c r="N187" t="s">
        <v>499</v>
      </c>
      <c r="O187" t="s">
        <v>526</v>
      </c>
    </row>
    <row r="188" spans="1:19">
      <c r="A188" t="s">
        <v>31</v>
      </c>
      <c r="M188" t="s">
        <v>457</v>
      </c>
      <c r="N188" t="s">
        <v>496</v>
      </c>
    </row>
    <row r="189" spans="1:19">
      <c r="A189" t="s">
        <v>31</v>
      </c>
      <c r="C189" t="s">
        <v>36</v>
      </c>
      <c r="D189" t="s">
        <v>176</v>
      </c>
      <c r="E189" t="s">
        <v>190</v>
      </c>
      <c r="F189" t="s">
        <v>193</v>
      </c>
      <c r="H189" t="s">
        <v>27</v>
      </c>
      <c r="M189" t="s">
        <v>458</v>
      </c>
      <c r="N189" t="s">
        <v>496</v>
      </c>
    </row>
    <row r="190" spans="1:19">
      <c r="A190" t="s">
        <v>31</v>
      </c>
      <c r="C190" t="s">
        <v>37</v>
      </c>
      <c r="D190" t="s">
        <v>176</v>
      </c>
      <c r="E190" t="s">
        <v>190</v>
      </c>
      <c r="F190" t="s">
        <v>193</v>
      </c>
      <c r="H190" t="s">
        <v>22</v>
      </c>
      <c r="I190" t="s">
        <v>36</v>
      </c>
      <c r="M190" t="s">
        <v>459</v>
      </c>
      <c r="N190" t="s">
        <v>496</v>
      </c>
    </row>
    <row r="191" spans="1:19">
      <c r="A191" t="s">
        <v>31</v>
      </c>
      <c r="C191" t="s">
        <v>60</v>
      </c>
      <c r="E191" t="s">
        <v>190</v>
      </c>
      <c r="F191" t="s">
        <v>193</v>
      </c>
      <c r="M191" t="s">
        <v>460</v>
      </c>
      <c r="N191" t="s">
        <v>496</v>
      </c>
    </row>
    <row r="192" spans="1:19">
      <c r="A192" t="s">
        <v>31</v>
      </c>
      <c r="C192" t="s">
        <v>15</v>
      </c>
      <c r="M192" t="s">
        <v>461</v>
      </c>
      <c r="N192" t="s">
        <v>496</v>
      </c>
    </row>
    <row r="193" spans="1:14">
      <c r="A193" t="s">
        <v>31</v>
      </c>
      <c r="C193" t="s">
        <v>12</v>
      </c>
      <c r="D193" t="s">
        <v>182</v>
      </c>
      <c r="M193" t="s">
        <v>462</v>
      </c>
      <c r="N193" t="s">
        <v>496</v>
      </c>
    </row>
    <row r="194" spans="1:14">
      <c r="A194" t="s">
        <v>31</v>
      </c>
      <c r="C194" t="s">
        <v>156</v>
      </c>
      <c r="D194" t="s">
        <v>183</v>
      </c>
      <c r="H194" t="s">
        <v>23</v>
      </c>
      <c r="I194" t="s">
        <v>36</v>
      </c>
      <c r="M194" t="s">
        <v>463</v>
      </c>
      <c r="N194" t="s">
        <v>523</v>
      </c>
    </row>
    <row r="195" spans="1:14">
      <c r="A195" t="s">
        <v>31</v>
      </c>
      <c r="C195" t="s">
        <v>157</v>
      </c>
      <c r="D195" t="s">
        <v>181</v>
      </c>
      <c r="G195" t="s">
        <v>197</v>
      </c>
      <c r="H195" t="s">
        <v>228</v>
      </c>
      <c r="M195" t="s">
        <v>464</v>
      </c>
      <c r="N195" t="s">
        <v>496</v>
      </c>
    </row>
    <row r="196" spans="1:14">
      <c r="A196" t="s">
        <v>31</v>
      </c>
      <c r="C196" t="s">
        <v>158</v>
      </c>
      <c r="D196" t="s">
        <v>181</v>
      </c>
      <c r="G196" t="s">
        <v>197</v>
      </c>
      <c r="H196" t="s">
        <v>229</v>
      </c>
      <c r="M196" t="s">
        <v>465</v>
      </c>
      <c r="N196" t="s">
        <v>496</v>
      </c>
    </row>
    <row r="197" spans="1:14">
      <c r="A197" t="s">
        <v>31</v>
      </c>
      <c r="C197" t="s">
        <v>43</v>
      </c>
      <c r="M197" t="s">
        <v>466</v>
      </c>
      <c r="N197" t="s">
        <v>496</v>
      </c>
    </row>
    <row r="198" spans="1:14">
      <c r="A198" t="s">
        <v>31</v>
      </c>
      <c r="C198" t="s">
        <v>44</v>
      </c>
      <c r="M198" t="s">
        <v>467</v>
      </c>
      <c r="N198" t="s">
        <v>496</v>
      </c>
    </row>
    <row r="199" spans="1:14">
      <c r="A199" t="s">
        <v>31</v>
      </c>
      <c r="C199" t="s">
        <v>159</v>
      </c>
      <c r="D199" t="s">
        <v>181</v>
      </c>
      <c r="G199" t="s">
        <v>197</v>
      </c>
      <c r="H199" t="s">
        <v>230</v>
      </c>
      <c r="M199" t="s">
        <v>468</v>
      </c>
      <c r="N199" t="s">
        <v>496</v>
      </c>
    </row>
    <row r="200" spans="1:14">
      <c r="A200" t="s">
        <v>31</v>
      </c>
      <c r="C200" t="s">
        <v>160</v>
      </c>
      <c r="D200" t="s">
        <v>177</v>
      </c>
      <c r="M200" t="s">
        <v>469</v>
      </c>
      <c r="N200" t="s">
        <v>496</v>
      </c>
    </row>
    <row r="201" spans="1:14">
      <c r="A201" t="s">
        <v>31</v>
      </c>
      <c r="C201" t="s">
        <v>161</v>
      </c>
      <c r="D201" t="s">
        <v>177</v>
      </c>
      <c r="M201" t="s">
        <v>470</v>
      </c>
      <c r="N201" t="s">
        <v>496</v>
      </c>
    </row>
    <row r="202" spans="1:14">
      <c r="A202" t="s">
        <v>31</v>
      </c>
      <c r="C202" t="s">
        <v>162</v>
      </c>
      <c r="D202" t="s">
        <v>184</v>
      </c>
      <c r="M202" t="s">
        <v>471</v>
      </c>
      <c r="N202" t="s">
        <v>496</v>
      </c>
    </row>
    <row r="203" spans="1:14">
      <c r="A203" t="s">
        <v>31</v>
      </c>
      <c r="C203" t="s">
        <v>163</v>
      </c>
      <c r="D203" t="s">
        <v>188</v>
      </c>
      <c r="H203" t="s">
        <v>19</v>
      </c>
      <c r="J203" t="s">
        <v>38</v>
      </c>
      <c r="M203" t="s">
        <v>472</v>
      </c>
      <c r="N203" t="s">
        <v>496</v>
      </c>
    </row>
    <row r="204" spans="1:14">
      <c r="A204" t="s">
        <v>31</v>
      </c>
      <c r="C204" t="s">
        <v>63</v>
      </c>
      <c r="D204" t="s">
        <v>180</v>
      </c>
      <c r="G204" t="s">
        <v>197</v>
      </c>
      <c r="H204" t="s">
        <v>203</v>
      </c>
      <c r="M204" t="s">
        <v>473</v>
      </c>
      <c r="N204" t="s">
        <v>496</v>
      </c>
    </row>
    <row r="205" spans="1:14">
      <c r="A205" t="s">
        <v>31</v>
      </c>
      <c r="C205" t="s">
        <v>164</v>
      </c>
      <c r="D205" t="s">
        <v>180</v>
      </c>
      <c r="G205" t="s">
        <v>197</v>
      </c>
      <c r="H205" t="s">
        <v>231</v>
      </c>
      <c r="M205" t="s">
        <v>474</v>
      </c>
      <c r="N205" t="s">
        <v>496</v>
      </c>
    </row>
    <row r="206" spans="1:14">
      <c r="A206" t="s">
        <v>31</v>
      </c>
      <c r="C206" t="s">
        <v>165</v>
      </c>
      <c r="D206" t="s">
        <v>188</v>
      </c>
      <c r="H206" t="s">
        <v>29</v>
      </c>
      <c r="J206" t="s">
        <v>149</v>
      </c>
      <c r="M206" t="s">
        <v>475</v>
      </c>
      <c r="N206" t="s">
        <v>521</v>
      </c>
    </row>
    <row r="207" spans="1:14">
      <c r="A207" t="s">
        <v>32</v>
      </c>
      <c r="M207" t="s">
        <v>476</v>
      </c>
      <c r="N207" t="s">
        <v>517</v>
      </c>
    </row>
    <row r="208" spans="1:14">
      <c r="A208" t="s">
        <v>32</v>
      </c>
      <c r="C208" t="s">
        <v>36</v>
      </c>
      <c r="D208" t="s">
        <v>176</v>
      </c>
      <c r="E208" t="s">
        <v>190</v>
      </c>
      <c r="F208" t="s">
        <v>193</v>
      </c>
      <c r="H208" t="s">
        <v>27</v>
      </c>
      <c r="M208" t="s">
        <v>477</v>
      </c>
      <c r="N208" t="s">
        <v>517</v>
      </c>
    </row>
    <row r="209" spans="1:15">
      <c r="A209" t="s">
        <v>32</v>
      </c>
      <c r="C209" t="s">
        <v>83</v>
      </c>
      <c r="D209" t="s">
        <v>182</v>
      </c>
      <c r="E209" t="s">
        <v>190</v>
      </c>
      <c r="F209" t="s">
        <v>193</v>
      </c>
      <c r="M209" t="s">
        <v>347</v>
      </c>
      <c r="N209" t="s">
        <v>517</v>
      </c>
    </row>
    <row r="210" spans="1:15">
      <c r="A210" t="s">
        <v>32</v>
      </c>
      <c r="C210" t="s">
        <v>166</v>
      </c>
      <c r="D210" t="s">
        <v>181</v>
      </c>
      <c r="G210" t="s">
        <v>197</v>
      </c>
      <c r="H210" t="s">
        <v>232</v>
      </c>
      <c r="M210" t="s">
        <v>478</v>
      </c>
      <c r="N210" t="s">
        <v>517</v>
      </c>
    </row>
    <row r="211" spans="1:15">
      <c r="A211" t="s">
        <v>32</v>
      </c>
      <c r="C211" t="s">
        <v>167</v>
      </c>
      <c r="D211" t="s">
        <v>182</v>
      </c>
      <c r="M211" t="s">
        <v>479</v>
      </c>
      <c r="N211" t="s">
        <v>503</v>
      </c>
    </row>
    <row r="212" spans="1:15">
      <c r="A212" t="s">
        <v>33</v>
      </c>
      <c r="B212" t="s">
        <v>30</v>
      </c>
      <c r="L212" t="s">
        <v>271</v>
      </c>
      <c r="M212" t="s">
        <v>480</v>
      </c>
      <c r="N212" t="s">
        <v>498</v>
      </c>
    </row>
    <row r="213" spans="1:15">
      <c r="A213" t="s">
        <v>33</v>
      </c>
      <c r="C213" t="s">
        <v>168</v>
      </c>
      <c r="D213" t="s">
        <v>178</v>
      </c>
      <c r="M213" t="s">
        <v>481</v>
      </c>
      <c r="N213" t="s">
        <v>499</v>
      </c>
      <c r="O213" t="s">
        <v>526</v>
      </c>
    </row>
    <row r="214" spans="1:15">
      <c r="A214" t="s">
        <v>34</v>
      </c>
      <c r="M214" t="s">
        <v>482</v>
      </c>
      <c r="N214" t="s">
        <v>497</v>
      </c>
    </row>
    <row r="215" spans="1:15">
      <c r="A215" t="s">
        <v>34</v>
      </c>
      <c r="C215" t="s">
        <v>36</v>
      </c>
      <c r="D215" t="s">
        <v>176</v>
      </c>
      <c r="E215" t="s">
        <v>190</v>
      </c>
      <c r="F215" t="s">
        <v>193</v>
      </c>
      <c r="H215" t="s">
        <v>27</v>
      </c>
      <c r="M215" t="s">
        <v>483</v>
      </c>
      <c r="N215" t="s">
        <v>498</v>
      </c>
    </row>
    <row r="216" spans="1:15">
      <c r="A216" t="s">
        <v>34</v>
      </c>
      <c r="C216" t="s">
        <v>60</v>
      </c>
      <c r="E216" t="s">
        <v>190</v>
      </c>
      <c r="F216" t="s">
        <v>193</v>
      </c>
      <c r="M216" t="s">
        <v>484</v>
      </c>
      <c r="N216" t="s">
        <v>498</v>
      </c>
    </row>
    <row r="217" spans="1:15">
      <c r="A217" t="s">
        <v>34</v>
      </c>
      <c r="C217" t="s">
        <v>90</v>
      </c>
      <c r="D217" t="s">
        <v>181</v>
      </c>
      <c r="G217" t="s">
        <v>197</v>
      </c>
      <c r="H217" t="s">
        <v>233</v>
      </c>
      <c r="M217" t="s">
        <v>485</v>
      </c>
      <c r="N217" t="s">
        <v>498</v>
      </c>
    </row>
    <row r="218" spans="1:15">
      <c r="A218" t="s">
        <v>34</v>
      </c>
      <c r="C218" t="s">
        <v>12</v>
      </c>
      <c r="D218" t="s">
        <v>182</v>
      </c>
      <c r="M218" t="s">
        <v>486</v>
      </c>
      <c r="N218" t="s">
        <v>497</v>
      </c>
    </row>
    <row r="219" spans="1:15">
      <c r="A219" t="s">
        <v>34</v>
      </c>
      <c r="C219" t="s">
        <v>169</v>
      </c>
      <c r="D219" t="s">
        <v>179</v>
      </c>
      <c r="M219" t="s">
        <v>487</v>
      </c>
      <c r="N219" t="s">
        <v>498</v>
      </c>
    </row>
    <row r="220" spans="1:15">
      <c r="A220" t="s">
        <v>34</v>
      </c>
      <c r="C220" t="s">
        <v>170</v>
      </c>
      <c r="D220" t="s">
        <v>170</v>
      </c>
      <c r="M220" t="s">
        <v>488</v>
      </c>
      <c r="N220" t="s">
        <v>498</v>
      </c>
    </row>
    <row r="221" spans="1:15">
      <c r="A221" t="s">
        <v>35</v>
      </c>
      <c r="M221" t="s">
        <v>489</v>
      </c>
      <c r="N221" t="s">
        <v>512</v>
      </c>
    </row>
    <row r="222" spans="1:15">
      <c r="A222" t="s">
        <v>35</v>
      </c>
      <c r="C222" t="s">
        <v>36</v>
      </c>
      <c r="D222" t="s">
        <v>176</v>
      </c>
      <c r="E222" t="s">
        <v>190</v>
      </c>
      <c r="F222" t="s">
        <v>193</v>
      </c>
      <c r="H222" t="s">
        <v>27</v>
      </c>
      <c r="M222" t="s">
        <v>490</v>
      </c>
      <c r="N222" t="s">
        <v>512</v>
      </c>
    </row>
    <row r="223" spans="1:15">
      <c r="A223" t="s">
        <v>35</v>
      </c>
      <c r="C223" t="s">
        <v>171</v>
      </c>
      <c r="D223" t="s">
        <v>176</v>
      </c>
      <c r="E223" t="s">
        <v>190</v>
      </c>
      <c r="F223" t="s">
        <v>193</v>
      </c>
      <c r="H223" t="s">
        <v>28</v>
      </c>
      <c r="I223" t="s">
        <v>36</v>
      </c>
      <c r="M223" t="s">
        <v>491</v>
      </c>
      <c r="N223" t="s">
        <v>512</v>
      </c>
    </row>
    <row r="224" spans="1:15">
      <c r="A224" t="s">
        <v>35</v>
      </c>
      <c r="C224" t="s">
        <v>172</v>
      </c>
      <c r="D224" t="s">
        <v>181</v>
      </c>
      <c r="E224" t="s">
        <v>190</v>
      </c>
      <c r="F224" t="s">
        <v>193</v>
      </c>
      <c r="G224" t="s">
        <v>197</v>
      </c>
      <c r="H224" t="s">
        <v>204</v>
      </c>
      <c r="M224" t="s">
        <v>492</v>
      </c>
      <c r="N224" t="s">
        <v>512</v>
      </c>
    </row>
    <row r="225" spans="1:14">
      <c r="A225" t="s">
        <v>35</v>
      </c>
      <c r="C225" t="s">
        <v>173</v>
      </c>
      <c r="D225" t="s">
        <v>177</v>
      </c>
      <c r="M225" t="s">
        <v>493</v>
      </c>
      <c r="N225" t="s">
        <v>512</v>
      </c>
    </row>
    <row r="226" spans="1:14">
      <c r="A226" t="s">
        <v>35</v>
      </c>
      <c r="C226" t="s">
        <v>174</v>
      </c>
      <c r="D226" t="s">
        <v>177</v>
      </c>
      <c r="M226" t="s">
        <v>494</v>
      </c>
      <c r="N226" t="s">
        <v>512</v>
      </c>
    </row>
    <row r="227" spans="1:14">
      <c r="A227" t="s">
        <v>35</v>
      </c>
      <c r="C227" t="s">
        <v>175</v>
      </c>
      <c r="D227" t="s">
        <v>177</v>
      </c>
      <c r="M227" t="s">
        <v>495</v>
      </c>
      <c r="N227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2026-03-17T12:27:08Z</dcterms:created>
  <dcterms:modified xsi:type="dcterms:W3CDTF">2026-03-17T12:27:08Z</dcterms:modified>
</cp:coreProperties>
</file>